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workbookPr hidePivotFieldList="1" refreshAllConnections="1"/>
  <mc:AlternateContent xmlns:mc="http://schemas.openxmlformats.org/markup-compatibility/2006">
    <mc:Choice Requires="x15">
      <x15ac:absPath xmlns:x15ac="http://schemas.microsoft.com/office/spreadsheetml/2010/11/ac" url="V:\Property_Management\02 DPTO_TECNICO\02 DDT\01 MODELOS\02 Plantilla de CAPEX\"/>
    </mc:Choice>
  </mc:AlternateContent>
  <xr:revisionPtr revIDLastSave="0" documentId="13_ncr:1_{0B0EAD16-7D6A-465E-83DF-9BF55D3EF628}" xr6:coauthVersionLast="47" xr6:coauthVersionMax="47" xr10:uidLastSave="{00000000-0000-0000-0000-000000000000}"/>
  <bookViews>
    <workbookView xWindow="-108" yWindow="-108" windowWidth="23256" windowHeight="12456" tabRatio="786" activeTab="4" xr2:uid="{00000000-000D-0000-FFFF-FFFF00000000}"/>
  </bookViews>
  <sheets>
    <sheet name="00 Category Data" sheetId="5" r:id="rId1"/>
    <sheet name="00 Item Data" sheetId="7" r:id="rId2"/>
    <sheet name="00 Asset Data" sheetId="2" r:id="rId3"/>
    <sheet name="Legend" sheetId="24" r:id="rId4"/>
    <sheet name="CapEx" sheetId="3" r:id="rId5"/>
    <sheet name="CapEx Summary" sheetId="10" r:id="rId6"/>
    <sheet name="Charts &amp; Hard Costs Breakdown" sheetId="15" r:id="rId7"/>
  </sheets>
  <definedNames>
    <definedName name="_xlnm._FilterDatabase" localSheetId="4" hidden="1">CapEx!$A$24:$W$95</definedName>
    <definedName name="_xleta.SUM" hidden="1" xlm="1">#NAME?</definedName>
    <definedName name="_xlnm.Print_Area" localSheetId="4">CapEx!$A$9:$Q$255</definedName>
    <definedName name="_xlnm.Print_Area" localSheetId="5">'CapEx Summary'!$A$2:$G$29</definedName>
    <definedName name="_xlnm.Print_Area" localSheetId="6">'Charts &amp; Hard Costs Breakdown'!$A$3:$P$64</definedName>
    <definedName name="_xlnm.Print_Area" localSheetId="3">Legend!$A$1:$D$16</definedName>
    <definedName name="Environmental">'00 Item Data'!$C$20:$S$20</definedName>
    <definedName name="ESG">'00 Item Data'!$C$22:$S$22</definedName>
    <definedName name="ESG_Energía">'00 Category Data'!$G$4:$G$6</definedName>
    <definedName name="H01.Estructura">'00 Item Data'!#REF!</definedName>
    <definedName name="H01.Structure">'00 Item Data'!$C$3:$S$3</definedName>
    <definedName name="H02.Cubierta">'00 Item Data'!#REF!</definedName>
    <definedName name="H02.Roof">'00 Item Data'!$C$4:$S$4</definedName>
    <definedName name="H03.Facades">'00 Item Data'!$C$5:$S$5</definedName>
    <definedName name="H03.Fachadas">'00 Item Data'!#REF!</definedName>
    <definedName name="H04.Interiores">'00 Item Data'!#REF!</definedName>
    <definedName name="H04.Interiors">'00 Item Data'!$C$6:$S$6</definedName>
    <definedName name="H05.External_Areas">'00 Item Data'!$C$7:$S$7</definedName>
    <definedName name="H05.Zonas_Exteriores">'00 Item Data'!#REF!</definedName>
    <definedName name="H06.Passive_Fire_Protection">'00 Item Data'!$C$8:$S$8</definedName>
    <definedName name="H06.Protección_Pasiva_Incendios">'00 Item Data'!#REF!</definedName>
    <definedName name="H07.Accesibilidad">'00 Item Data'!#REF!</definedName>
    <definedName name="H07.Accessibility">'00 Item Data'!$C$9:$S$9</definedName>
    <definedName name="H08.HVAC">'00 Item Data'!$C$10:$S$10</definedName>
    <definedName name="H09.Electrical">'00 Item Data'!$C$11:$S$11</definedName>
    <definedName name="H09.Electricidad">'00 Item Data'!#REF!</definedName>
    <definedName name="H10.Active_Fire_Protection">'00 Item Data'!$C$12:$S$12</definedName>
    <definedName name="H10.Protección_Activa_Incendios">'00 Item Data'!#REF!</definedName>
    <definedName name="H11.Fontanería_y_Saneamiento">'00 Item Data'!#REF!</definedName>
    <definedName name="H11.Plumbing_and_Drainage">'00 Item Data'!$C$13:$S$13</definedName>
    <definedName name="H12.Transporte_Vertical_y_Puertas_Mecánicas">'00 Item Data'!#REF!</definedName>
    <definedName name="H12.Vertical_Transportation_and_Mechanical_Doors">'00 Item Data'!$C$14:$S$14</definedName>
    <definedName name="H13.Security_CCTV_and_BMS">'00 Item Data'!$C$15:$S$15</definedName>
    <definedName name="H13.Seguridad_CCTV_y_BMS">'00 Item Data'!#REF!</definedName>
    <definedName name="H14.Telecommunications_Voice_and_Data">'00 Item Data'!$C$16:$S$16</definedName>
    <definedName name="H14.Telecomunicaciones_Voz_y_Datos">'00 Item Data'!#REF!</definedName>
    <definedName name="H15.Others">'00 Item Data'!$C$17:$S$17</definedName>
    <definedName name="H15.Otros">'00 Item Data'!#REF!</definedName>
    <definedName name="Hard_Cost">'00 Category Data'!$C$4:$C$20</definedName>
    <definedName name="HH01.Structure">'00 Item Data'!$C$3:$S$3</definedName>
    <definedName name="Imprevistos">'00 Category Data'!$H$4:$H$6</definedName>
    <definedName name="Mediambiente">'00 Category Data'!$F$4:$F$6</definedName>
    <definedName name="Medioamb">'00 Item Data'!#REF!</definedName>
    <definedName name="Operativos">'00 Category Data'!$E$4:$E$7</definedName>
    <definedName name="Soft_Cost">'00 Category Data'!$D$4:$D$8</definedName>
    <definedName name="_xlnm.Print_Titles" localSheetId="4">CapEx!$9:$10</definedName>
  </definedNames>
  <calcPr calcId="191029"/>
  <pivotCaches>
    <pivotCache cacheId="7" r:id="rId8"/>
    <pivotCache cacheId="12" r:id="rId9"/>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2" i="2" l="1"/>
  <c r="E23" i="2"/>
  <c r="E24" i="2"/>
  <c r="E25" i="2"/>
  <c r="E26" i="2"/>
  <c r="E27" i="2"/>
  <c r="E28" i="2"/>
  <c r="E5" i="2" l="1"/>
  <c r="E6" i="2"/>
  <c r="E7" i="2"/>
  <c r="E8" i="2"/>
  <c r="E9" i="2"/>
  <c r="E10" i="2"/>
  <c r="E11" i="2"/>
  <c r="E12" i="2"/>
  <c r="E13" i="2"/>
  <c r="E14" i="2"/>
  <c r="E15" i="2"/>
  <c r="E16" i="2"/>
  <c r="E17" i="2"/>
  <c r="E18" i="2"/>
  <c r="E19" i="2"/>
  <c r="E20" i="2"/>
  <c r="E21" i="2"/>
  <c r="V167" i="3" l="1"/>
  <c r="V166" i="3"/>
  <c r="V165" i="3"/>
  <c r="V164" i="3"/>
  <c r="V163" i="3"/>
  <c r="V162" i="3"/>
  <c r="V161" i="3"/>
  <c r="V160" i="3"/>
  <c r="V159" i="3"/>
  <c r="V158" i="3"/>
  <c r="V155" i="3"/>
  <c r="V154" i="3"/>
  <c r="V153" i="3"/>
  <c r="V152" i="3"/>
  <c r="V151" i="3"/>
  <c r="V150" i="3"/>
  <c r="V149" i="3"/>
  <c r="V148" i="3"/>
  <c r="V147" i="3"/>
  <c r="V146" i="3"/>
  <c r="V143" i="3"/>
  <c r="V142" i="3"/>
  <c r="V141" i="3"/>
  <c r="V140" i="3"/>
  <c r="V139" i="3"/>
  <c r="V138" i="3"/>
  <c r="V137" i="3"/>
  <c r="V136" i="3"/>
  <c r="V135" i="3"/>
  <c r="V134" i="3"/>
  <c r="V131" i="3"/>
  <c r="V130" i="3"/>
  <c r="V129" i="3"/>
  <c r="V128" i="3"/>
  <c r="V127" i="3"/>
  <c r="V126" i="3"/>
  <c r="V125" i="3"/>
  <c r="V124" i="3"/>
  <c r="V123" i="3"/>
  <c r="V122" i="3"/>
  <c r="V119" i="3"/>
  <c r="V118" i="3"/>
  <c r="V117" i="3"/>
  <c r="V116" i="3"/>
  <c r="V115" i="3"/>
  <c r="V114" i="3"/>
  <c r="V113" i="3"/>
  <c r="V112" i="3"/>
  <c r="V111" i="3"/>
  <c r="V110" i="3"/>
  <c r="V107" i="3"/>
  <c r="V106" i="3"/>
  <c r="V105" i="3"/>
  <c r="V104" i="3"/>
  <c r="V103" i="3"/>
  <c r="V102" i="3"/>
  <c r="V101" i="3"/>
  <c r="V100" i="3"/>
  <c r="V99" i="3"/>
  <c r="V98" i="3"/>
  <c r="V95" i="3"/>
  <c r="V94" i="3"/>
  <c r="V93" i="3"/>
  <c r="V92" i="3"/>
  <c r="V91" i="3"/>
  <c r="V90" i="3"/>
  <c r="V89" i="3"/>
  <c r="V88" i="3"/>
  <c r="V87" i="3"/>
  <c r="V86" i="3"/>
  <c r="V83" i="3"/>
  <c r="V82" i="3"/>
  <c r="V81" i="3"/>
  <c r="V80" i="3"/>
  <c r="V79" i="3"/>
  <c r="V78" i="3"/>
  <c r="V77" i="3"/>
  <c r="V76" i="3"/>
  <c r="V75" i="3"/>
  <c r="V74" i="3"/>
  <c r="V71" i="3"/>
  <c r="V70" i="3"/>
  <c r="V69" i="3"/>
  <c r="V68" i="3"/>
  <c r="V67" i="3"/>
  <c r="V66" i="3"/>
  <c r="V65" i="3"/>
  <c r="V64" i="3"/>
  <c r="V63" i="3"/>
  <c r="V62" i="3"/>
  <c r="V59" i="3"/>
  <c r="V58" i="3"/>
  <c r="V57" i="3"/>
  <c r="V56" i="3"/>
  <c r="V55" i="3"/>
  <c r="V54" i="3"/>
  <c r="V53" i="3"/>
  <c r="V52" i="3"/>
  <c r="V51" i="3"/>
  <c r="V50" i="3"/>
  <c r="V47" i="3"/>
  <c r="V46" i="3"/>
  <c r="V45" i="3"/>
  <c r="V44" i="3"/>
  <c r="V43" i="3"/>
  <c r="V42" i="3"/>
  <c r="V41" i="3"/>
  <c r="V40" i="3"/>
  <c r="V39" i="3"/>
  <c r="V38" i="3"/>
  <c r="V35" i="3"/>
  <c r="V34" i="3"/>
  <c r="V33" i="3"/>
  <c r="V32" i="3"/>
  <c r="V31" i="3"/>
  <c r="V30" i="3"/>
  <c r="V29" i="3"/>
  <c r="V28" i="3"/>
  <c r="V27" i="3"/>
  <c r="V26" i="3"/>
  <c r="V23" i="3"/>
  <c r="V22" i="3"/>
  <c r="V21" i="3"/>
  <c r="V20" i="3"/>
  <c r="V19" i="3"/>
  <c r="V18" i="3"/>
  <c r="V17" i="3"/>
  <c r="V16" i="3"/>
  <c r="V15" i="3"/>
  <c r="V14" i="3"/>
  <c r="V179" i="3"/>
  <c r="V178" i="3"/>
  <c r="V177" i="3"/>
  <c r="V176" i="3"/>
  <c r="V175" i="3"/>
  <c r="V174" i="3"/>
  <c r="V173" i="3"/>
  <c r="V172" i="3"/>
  <c r="V171" i="3"/>
  <c r="V170" i="3"/>
  <c r="V191" i="3"/>
  <c r="V190" i="3"/>
  <c r="V189" i="3"/>
  <c r="V188" i="3"/>
  <c r="V187" i="3"/>
  <c r="V186" i="3"/>
  <c r="V185" i="3"/>
  <c r="V184" i="3"/>
  <c r="V183" i="3"/>
  <c r="V182" i="3"/>
  <c r="V204" i="3"/>
  <c r="V203" i="3"/>
  <c r="V202" i="3"/>
  <c r="V201" i="3"/>
  <c r="V200" i="3"/>
  <c r="V199" i="3"/>
  <c r="V198" i="3"/>
  <c r="V197" i="3"/>
  <c r="V196" i="3"/>
  <c r="V195" i="3"/>
  <c r="V217" i="3"/>
  <c r="V216" i="3"/>
  <c r="V215" i="3"/>
  <c r="V214" i="3"/>
  <c r="V213" i="3"/>
  <c r="V212" i="3"/>
  <c r="V211" i="3"/>
  <c r="V210" i="3"/>
  <c r="V209" i="3"/>
  <c r="V208" i="3"/>
  <c r="V230" i="3"/>
  <c r="V229" i="3"/>
  <c r="V228" i="3"/>
  <c r="V227" i="3"/>
  <c r="R227" i="3" s="1"/>
  <c r="V226" i="3"/>
  <c r="V225" i="3"/>
  <c r="V224" i="3"/>
  <c r="V242" i="3"/>
  <c r="V241" i="3"/>
  <c r="V240" i="3"/>
  <c r="V239" i="3"/>
  <c r="V238" i="3"/>
  <c r="V237" i="3"/>
  <c r="V236" i="3"/>
  <c r="V235" i="3"/>
  <c r="V234" i="3"/>
  <c r="R119" i="3"/>
  <c r="R89" i="3"/>
  <c r="O244" i="3"/>
  <c r="O254" i="3"/>
  <c r="O253" i="3"/>
  <c r="O252" i="3"/>
  <c r="O251" i="3"/>
  <c r="O250" i="3"/>
  <c r="O249" i="3"/>
  <c r="O248" i="3"/>
  <c r="O242" i="3"/>
  <c r="O241" i="3"/>
  <c r="R241" i="3" s="1"/>
  <c r="O240" i="3"/>
  <c r="R240" i="3" s="1"/>
  <c r="O239" i="3"/>
  <c r="O238" i="3"/>
  <c r="O237" i="3"/>
  <c r="O236" i="3"/>
  <c r="O235" i="3"/>
  <c r="R235" i="3" s="1"/>
  <c r="O234" i="3"/>
  <c r="O230" i="3"/>
  <c r="O229" i="3"/>
  <c r="R229" i="3" s="1"/>
  <c r="O228" i="3"/>
  <c r="R228" i="3" s="1"/>
  <c r="O227" i="3"/>
  <c r="O226" i="3"/>
  <c r="O225" i="3"/>
  <c r="O224" i="3"/>
  <c r="O217" i="3"/>
  <c r="R217" i="3" s="1"/>
  <c r="O216" i="3"/>
  <c r="R216" i="3" s="1"/>
  <c r="O215" i="3"/>
  <c r="R215" i="3" s="1"/>
  <c r="O214" i="3"/>
  <c r="R214" i="3" s="1"/>
  <c r="O213" i="3"/>
  <c r="O212" i="3"/>
  <c r="O211" i="3"/>
  <c r="O210" i="3"/>
  <c r="O209" i="3"/>
  <c r="R209" i="3" s="1"/>
  <c r="O208" i="3"/>
  <c r="R208" i="3" s="1"/>
  <c r="O204" i="3"/>
  <c r="R204" i="3" s="1"/>
  <c r="O203" i="3"/>
  <c r="O202" i="3"/>
  <c r="O201" i="3"/>
  <c r="O200" i="3"/>
  <c r="R200" i="3" s="1"/>
  <c r="O199" i="3"/>
  <c r="R199" i="3" s="1"/>
  <c r="O198" i="3"/>
  <c r="O197" i="3"/>
  <c r="O196" i="3"/>
  <c r="R196" i="3" s="1"/>
  <c r="O195" i="3"/>
  <c r="O191" i="3"/>
  <c r="O190" i="3"/>
  <c r="O189" i="3"/>
  <c r="R189" i="3" s="1"/>
  <c r="O188" i="3"/>
  <c r="O187" i="3"/>
  <c r="R187" i="3" s="1"/>
  <c r="O186" i="3"/>
  <c r="O185" i="3"/>
  <c r="O184" i="3"/>
  <c r="O183" i="3"/>
  <c r="O182" i="3"/>
  <c r="O179" i="3"/>
  <c r="R179" i="3" s="1"/>
  <c r="O178" i="3"/>
  <c r="R178" i="3" s="1"/>
  <c r="O177" i="3"/>
  <c r="O176" i="3"/>
  <c r="O175" i="3"/>
  <c r="R175" i="3" s="1"/>
  <c r="O174" i="3"/>
  <c r="O173" i="3"/>
  <c r="O172" i="3"/>
  <c r="O171" i="3"/>
  <c r="R171" i="3" s="1"/>
  <c r="O170" i="3"/>
  <c r="R170" i="3" s="1"/>
  <c r="O167" i="3"/>
  <c r="R167" i="3" s="1"/>
  <c r="O166" i="3"/>
  <c r="O165" i="3"/>
  <c r="R165" i="3" s="1"/>
  <c r="O164" i="3"/>
  <c r="R164" i="3" s="1"/>
  <c r="O163" i="3"/>
  <c r="O162" i="3"/>
  <c r="O161" i="3"/>
  <c r="O160" i="3"/>
  <c r="O159" i="3"/>
  <c r="R159" i="3" s="1"/>
  <c r="O158" i="3"/>
  <c r="O155" i="3"/>
  <c r="R155" i="3" s="1"/>
  <c r="O154" i="3"/>
  <c r="R154" i="3" s="1"/>
  <c r="O153" i="3"/>
  <c r="O152" i="3"/>
  <c r="O151" i="3"/>
  <c r="O150" i="3"/>
  <c r="O149" i="3"/>
  <c r="R149" i="3" s="1"/>
  <c r="O148" i="3"/>
  <c r="O147" i="3"/>
  <c r="R147" i="3" s="1"/>
  <c r="O146" i="3"/>
  <c r="O143" i="3"/>
  <c r="O142" i="3"/>
  <c r="O141" i="3"/>
  <c r="O140" i="3"/>
  <c r="O139" i="3"/>
  <c r="R139" i="3" s="1"/>
  <c r="O138" i="3"/>
  <c r="O137" i="3"/>
  <c r="R137" i="3" s="1"/>
  <c r="O136" i="3"/>
  <c r="R136" i="3" s="1"/>
  <c r="O135" i="3"/>
  <c r="O134" i="3"/>
  <c r="O131" i="3"/>
  <c r="O130" i="3"/>
  <c r="O129" i="3"/>
  <c r="R129" i="3" s="1"/>
  <c r="O128" i="3"/>
  <c r="O127" i="3"/>
  <c r="R127" i="3" s="1"/>
  <c r="O126" i="3"/>
  <c r="R126" i="3" s="1"/>
  <c r="O125" i="3"/>
  <c r="O124" i="3"/>
  <c r="O123" i="3"/>
  <c r="O122" i="3"/>
  <c r="O119" i="3"/>
  <c r="O118" i="3"/>
  <c r="O117" i="3"/>
  <c r="R117" i="3" s="1"/>
  <c r="O116" i="3"/>
  <c r="R116" i="3" s="1"/>
  <c r="O115" i="3"/>
  <c r="O114" i="3"/>
  <c r="O113" i="3"/>
  <c r="O112" i="3"/>
  <c r="O111" i="3"/>
  <c r="R111" i="3" s="1"/>
  <c r="O110" i="3"/>
  <c r="O107" i="3"/>
  <c r="R107" i="3" s="1"/>
  <c r="O106" i="3"/>
  <c r="R106" i="3" s="1"/>
  <c r="O105" i="3"/>
  <c r="O104" i="3"/>
  <c r="O103" i="3"/>
  <c r="O102" i="3"/>
  <c r="O101" i="3"/>
  <c r="R101" i="3" s="1"/>
  <c r="O100" i="3"/>
  <c r="O99" i="3"/>
  <c r="R99" i="3" s="1"/>
  <c r="O98" i="3"/>
  <c r="R98" i="3" s="1"/>
  <c r="O95" i="3"/>
  <c r="O94" i="3"/>
  <c r="O93" i="3"/>
  <c r="O92" i="3"/>
  <c r="O91" i="3"/>
  <c r="R91" i="3" s="1"/>
  <c r="O90" i="3"/>
  <c r="O89" i="3"/>
  <c r="O88" i="3"/>
  <c r="R88" i="3" s="1"/>
  <c r="O87" i="3"/>
  <c r="O86" i="3"/>
  <c r="O83" i="3"/>
  <c r="O82" i="3"/>
  <c r="O81" i="3"/>
  <c r="R81" i="3" s="1"/>
  <c r="O80" i="3"/>
  <c r="O79" i="3"/>
  <c r="R79" i="3" s="1"/>
  <c r="O78" i="3"/>
  <c r="R78" i="3" s="1"/>
  <c r="O77" i="3"/>
  <c r="O76" i="3"/>
  <c r="O75" i="3"/>
  <c r="O74" i="3"/>
  <c r="O71" i="3"/>
  <c r="R71" i="3" s="1"/>
  <c r="O70" i="3"/>
  <c r="O69" i="3"/>
  <c r="R69" i="3" s="1"/>
  <c r="O68" i="3"/>
  <c r="R68" i="3" s="1"/>
  <c r="O67" i="3"/>
  <c r="O66" i="3"/>
  <c r="O65" i="3"/>
  <c r="O64" i="3"/>
  <c r="O63" i="3"/>
  <c r="R63" i="3" s="1"/>
  <c r="O62" i="3"/>
  <c r="O59" i="3"/>
  <c r="R59" i="3" s="1"/>
  <c r="O58" i="3"/>
  <c r="R58" i="3" s="1"/>
  <c r="O57" i="3"/>
  <c r="O56" i="3"/>
  <c r="O55" i="3"/>
  <c r="O54" i="3"/>
  <c r="O53" i="3"/>
  <c r="R53" i="3" s="1"/>
  <c r="O52" i="3"/>
  <c r="O51" i="3"/>
  <c r="R51" i="3" s="1"/>
  <c r="O50" i="3"/>
  <c r="R50" i="3" s="1"/>
  <c r="O47" i="3"/>
  <c r="O46" i="3"/>
  <c r="O45" i="3"/>
  <c r="O44" i="3"/>
  <c r="O43" i="3"/>
  <c r="R43" i="3" s="1"/>
  <c r="O42" i="3"/>
  <c r="O41" i="3"/>
  <c r="R41" i="3" s="1"/>
  <c r="O40" i="3"/>
  <c r="R40" i="3" s="1"/>
  <c r="O39" i="3"/>
  <c r="O38" i="3"/>
  <c r="O35" i="3"/>
  <c r="O34" i="3"/>
  <c r="O33" i="3"/>
  <c r="R33" i="3" s="1"/>
  <c r="O32" i="3"/>
  <c r="O31" i="3"/>
  <c r="R31" i="3" s="1"/>
  <c r="O30" i="3"/>
  <c r="R30" i="3" s="1"/>
  <c r="O29" i="3"/>
  <c r="O28" i="3"/>
  <c r="O27" i="3"/>
  <c r="O26" i="3"/>
  <c r="O23" i="3"/>
  <c r="R23" i="3" s="1"/>
  <c r="O22" i="3"/>
  <c r="O21" i="3"/>
  <c r="R21" i="3" s="1"/>
  <c r="O20" i="3"/>
  <c r="R20" i="3" s="1"/>
  <c r="O19" i="3"/>
  <c r="O18" i="3"/>
  <c r="O17" i="3"/>
  <c r="O16" i="3"/>
  <c r="O15" i="3"/>
  <c r="R15" i="3" s="1"/>
  <c r="O14" i="3"/>
  <c r="B18" i="7"/>
  <c r="R234" i="3" l="1"/>
  <c r="R242" i="3"/>
  <c r="R102" i="3"/>
  <c r="R140" i="3"/>
  <c r="R18" i="3"/>
  <c r="R56" i="3"/>
  <c r="R94" i="3"/>
  <c r="R114" i="3"/>
  <c r="R46" i="3"/>
  <c r="R86" i="3"/>
  <c r="R104" i="3"/>
  <c r="R142" i="3"/>
  <c r="R28" i="3"/>
  <c r="R76" i="3"/>
  <c r="R152" i="3"/>
  <c r="R134" i="3"/>
  <c r="R38" i="3"/>
  <c r="R66" i="3"/>
  <c r="R124" i="3"/>
  <c r="R239" i="3"/>
  <c r="R26" i="3"/>
  <c r="R64" i="3"/>
  <c r="R27" i="3"/>
  <c r="R35" i="3"/>
  <c r="R45" i="3"/>
  <c r="R55" i="3"/>
  <c r="R65" i="3"/>
  <c r="R75" i="3"/>
  <c r="R83" i="3"/>
  <c r="R93" i="3"/>
  <c r="R103" i="3"/>
  <c r="R113" i="3"/>
  <c r="R123" i="3"/>
  <c r="R131" i="3"/>
  <c r="R141" i="3"/>
  <c r="R151" i="3"/>
  <c r="R161" i="3"/>
  <c r="R226" i="3"/>
  <c r="R17" i="3"/>
  <c r="R224" i="3"/>
  <c r="R202" i="3"/>
  <c r="R190" i="3"/>
  <c r="R225" i="3"/>
  <c r="R19" i="3"/>
  <c r="R29" i="3"/>
  <c r="R39" i="3"/>
  <c r="R47" i="3"/>
  <c r="R57" i="3"/>
  <c r="R67" i="3"/>
  <c r="R77" i="3"/>
  <c r="R87" i="3"/>
  <c r="R95" i="3"/>
  <c r="R105" i="3"/>
  <c r="R115" i="3"/>
  <c r="R125" i="3"/>
  <c r="R135" i="3"/>
  <c r="R143" i="3"/>
  <c r="R153" i="3"/>
  <c r="R163" i="3"/>
  <c r="R176" i="3"/>
  <c r="R197" i="3"/>
  <c r="R177" i="3"/>
  <c r="R236" i="3"/>
  <c r="R230" i="3"/>
  <c r="R16" i="3"/>
  <c r="R34" i="3"/>
  <c r="R44" i="3"/>
  <c r="R54" i="3"/>
  <c r="R74" i="3"/>
  <c r="R82" i="3"/>
  <c r="R92" i="3"/>
  <c r="R112" i="3"/>
  <c r="R122" i="3"/>
  <c r="R130" i="3"/>
  <c r="R150" i="3"/>
  <c r="R160" i="3"/>
  <c r="R188" i="3"/>
  <c r="R210" i="3"/>
  <c r="R237" i="3"/>
  <c r="R201" i="3"/>
  <c r="R186" i="3"/>
  <c r="R172" i="3"/>
  <c r="R148" i="3"/>
  <c r="R238" i="3"/>
  <c r="O207" i="3"/>
  <c r="O206" i="3" s="1"/>
  <c r="R211" i="3"/>
  <c r="R212" i="3"/>
  <c r="R213" i="3"/>
  <c r="R195" i="3"/>
  <c r="R203" i="3"/>
  <c r="O194" i="3"/>
  <c r="O193" i="3" s="1"/>
  <c r="R198" i="3"/>
  <c r="O169" i="3"/>
  <c r="R184" i="3"/>
  <c r="O145" i="3"/>
  <c r="O109" i="3"/>
  <c r="R146" i="3"/>
  <c r="R174" i="3"/>
  <c r="R185" i="3"/>
  <c r="R166" i="3"/>
  <c r="R22" i="3"/>
  <c r="R32" i="3"/>
  <c r="R42" i="3"/>
  <c r="R52" i="3"/>
  <c r="R62" i="3"/>
  <c r="R70" i="3"/>
  <c r="R80" i="3"/>
  <c r="R90" i="3"/>
  <c r="R100" i="3"/>
  <c r="R110" i="3"/>
  <c r="R118" i="3"/>
  <c r="R128" i="3"/>
  <c r="R138" i="3"/>
  <c r="R158" i="3"/>
  <c r="R173" i="3"/>
  <c r="O25" i="3"/>
  <c r="O121" i="3"/>
  <c r="O37" i="3"/>
  <c r="O61" i="3"/>
  <c r="O73" i="3"/>
  <c r="O85" i="3"/>
  <c r="O133" i="3"/>
  <c r="O157" i="3"/>
  <c r="O181" i="3"/>
  <c r="R162" i="3"/>
  <c r="O49" i="3"/>
  <c r="O97" i="3"/>
  <c r="R182" i="3"/>
  <c r="R183" i="3"/>
  <c r="R191" i="3"/>
  <c r="O13" i="3"/>
  <c r="R14" i="3"/>
  <c r="V254" i="3"/>
  <c r="R254" i="3" s="1"/>
  <c r="V253" i="3"/>
  <c r="R253" i="3" s="1"/>
  <c r="V252" i="3"/>
  <c r="R252" i="3" s="1"/>
  <c r="V251" i="3"/>
  <c r="R251" i="3" s="1"/>
  <c r="V250" i="3"/>
  <c r="R250" i="3" s="1"/>
  <c r="V249" i="3"/>
  <c r="R249" i="3" s="1"/>
  <c r="V248" i="3"/>
  <c r="R248" i="3" s="1"/>
  <c r="N73" i="3"/>
  <c r="M73" i="3"/>
  <c r="L73" i="3"/>
  <c r="N61" i="3"/>
  <c r="M61" i="3"/>
  <c r="L61" i="3"/>
  <c r="K61" i="3"/>
  <c r="N49" i="3"/>
  <c r="M49" i="3"/>
  <c r="L49" i="3"/>
  <c r="M37" i="3"/>
  <c r="L37" i="3"/>
  <c r="K37" i="3"/>
  <c r="J37" i="3"/>
  <c r="K73" i="3"/>
  <c r="K49" i="3"/>
  <c r="J49" i="3"/>
  <c r="N181" i="3"/>
  <c r="M181" i="3"/>
  <c r="L181" i="3"/>
  <c r="K181" i="3"/>
  <c r="J181" i="3"/>
  <c r="N169" i="3"/>
  <c r="M169" i="3"/>
  <c r="L169" i="3"/>
  <c r="K169" i="3"/>
  <c r="J169" i="3"/>
  <c r="N157" i="3"/>
  <c r="M157" i="3"/>
  <c r="L157" i="3"/>
  <c r="K157" i="3"/>
  <c r="J157" i="3"/>
  <c r="N145" i="3"/>
  <c r="M145" i="3"/>
  <c r="L145" i="3"/>
  <c r="K145" i="3"/>
  <c r="J145" i="3"/>
  <c r="N133" i="3"/>
  <c r="M133" i="3"/>
  <c r="L133" i="3"/>
  <c r="K133" i="3"/>
  <c r="J133" i="3"/>
  <c r="N121" i="3"/>
  <c r="M121" i="3"/>
  <c r="L121" i="3"/>
  <c r="K121" i="3"/>
  <c r="J121" i="3"/>
  <c r="N109" i="3"/>
  <c r="M109" i="3"/>
  <c r="L109" i="3"/>
  <c r="K109" i="3"/>
  <c r="J109" i="3"/>
  <c r="N97" i="3"/>
  <c r="M97" i="3"/>
  <c r="L97" i="3"/>
  <c r="K97" i="3"/>
  <c r="J97" i="3"/>
  <c r="N25" i="3"/>
  <c r="M25" i="3"/>
  <c r="L25" i="3"/>
  <c r="B209" i="3"/>
  <c r="B210" i="3" s="1"/>
  <c r="B211" i="3" s="1"/>
  <c r="B212" i="3" s="1"/>
  <c r="B213" i="3" s="1"/>
  <c r="B214" i="3" s="1"/>
  <c r="B215" i="3" s="1"/>
  <c r="B216" i="3" s="1"/>
  <c r="B217" i="3" s="1"/>
  <c r="J207" i="3"/>
  <c r="J206" i="3" s="1"/>
  <c r="N207" i="3"/>
  <c r="N206" i="3" s="1"/>
  <c r="M207" i="3"/>
  <c r="M206" i="3" s="1"/>
  <c r="L207" i="3"/>
  <c r="L206" i="3" s="1"/>
  <c r="K207" i="3"/>
  <c r="K206" i="3" s="1"/>
  <c r="B196" i="3"/>
  <c r="B197" i="3" s="1"/>
  <c r="B198" i="3" s="1"/>
  <c r="B199" i="3" s="1"/>
  <c r="B200" i="3" s="1"/>
  <c r="B201" i="3" s="1"/>
  <c r="B202" i="3" s="1"/>
  <c r="B203" i="3" s="1"/>
  <c r="B204" i="3" s="1"/>
  <c r="B245" i="3"/>
  <c r="B246" i="3" s="1"/>
  <c r="B247" i="3" s="1"/>
  <c r="B248" i="3" s="1"/>
  <c r="B249" i="3" s="1"/>
  <c r="B250" i="3" s="1"/>
  <c r="B251" i="3" s="1"/>
  <c r="B252" i="3" s="1"/>
  <c r="B253" i="3" s="1"/>
  <c r="B254" i="3" s="1"/>
  <c r="B221" i="3"/>
  <c r="B222" i="3" s="1"/>
  <c r="B223" i="3" s="1"/>
  <c r="B224" i="3" s="1"/>
  <c r="B225" i="3" s="1"/>
  <c r="B226" i="3" s="1"/>
  <c r="B227" i="3" s="1"/>
  <c r="B228" i="3" s="1"/>
  <c r="B229" i="3" s="1"/>
  <c r="B230" i="3" s="1"/>
  <c r="N244" i="3"/>
  <c r="M244" i="3"/>
  <c r="L244" i="3"/>
  <c r="K244" i="3"/>
  <c r="J244" i="3"/>
  <c r="B74" i="3"/>
  <c r="B110" i="3"/>
  <c r="B98" i="3"/>
  <c r="O12" i="3" l="1"/>
  <c r="J73" i="3"/>
  <c r="B233" i="3"/>
  <c r="B234" i="3" s="1"/>
  <c r="B235" i="3" s="1"/>
  <c r="B236" i="3" s="1"/>
  <c r="B237" i="3" s="1"/>
  <c r="B238" i="3" s="1"/>
  <c r="B239" i="3" s="1"/>
  <c r="B240" i="3" s="1"/>
  <c r="B241" i="3" s="1"/>
  <c r="B242" i="3" s="1"/>
  <c r="B111" i="3"/>
  <c r="B112" i="3" s="1"/>
  <c r="B113" i="3" s="1"/>
  <c r="B114" i="3" s="1"/>
  <c r="B115" i="3" s="1"/>
  <c r="B116" i="3" s="1"/>
  <c r="B117" i="3" s="1"/>
  <c r="B118" i="3" s="1"/>
  <c r="B119" i="3" s="1"/>
  <c r="B99" i="3"/>
  <c r="B100" i="3" s="1"/>
  <c r="B101" i="3" s="1"/>
  <c r="B102" i="3" s="1"/>
  <c r="B103" i="3" s="1"/>
  <c r="B104" i="3" s="1"/>
  <c r="B105" i="3" s="1"/>
  <c r="B106" i="3" s="1"/>
  <c r="B107" i="3" s="1"/>
  <c r="U245" i="3" l="1"/>
  <c r="V245" i="3" s="1"/>
  <c r="U247" i="3"/>
  <c r="V247" i="3" s="1"/>
  <c r="U246" i="3"/>
  <c r="V246" i="3" s="1"/>
  <c r="U233" i="3"/>
  <c r="V233" i="3" s="1"/>
  <c r="U222" i="3"/>
  <c r="V222" i="3" s="1"/>
  <c r="U223" i="3"/>
  <c r="V223" i="3" s="1"/>
  <c r="U221" i="3"/>
  <c r="V221" i="3" s="1"/>
  <c r="J85" i="3"/>
  <c r="K85" i="3"/>
  <c r="M85" i="3"/>
  <c r="L85" i="3"/>
  <c r="N85" i="3"/>
  <c r="J61" i="3"/>
  <c r="J25" i="3"/>
  <c r="K25" i="3"/>
  <c r="B86" i="3"/>
  <c r="B146" i="3"/>
  <c r="B147" i="3" s="1"/>
  <c r="B148" i="3" s="1"/>
  <c r="B149" i="3" s="1"/>
  <c r="B150" i="3" s="1"/>
  <c r="B151" i="3" s="1"/>
  <c r="B152" i="3" s="1"/>
  <c r="B153" i="3" s="1"/>
  <c r="B154" i="3" s="1"/>
  <c r="B155" i="3" s="1"/>
  <c r="B38" i="3"/>
  <c r="B39" i="3" s="1"/>
  <c r="B40" i="3" s="1"/>
  <c r="B41" i="3" s="1"/>
  <c r="B42" i="3" s="1"/>
  <c r="B43" i="3" s="1"/>
  <c r="B44" i="3" s="1"/>
  <c r="B45" i="3" s="1"/>
  <c r="B46" i="3" s="1"/>
  <c r="B47" i="3" s="1"/>
  <c r="B158" i="3"/>
  <c r="B159" i="3" s="1"/>
  <c r="B160" i="3" s="1"/>
  <c r="B161" i="3" s="1"/>
  <c r="B162" i="3" s="1"/>
  <c r="B163" i="3" s="1"/>
  <c r="B164" i="3" s="1"/>
  <c r="B165" i="3" s="1"/>
  <c r="B166" i="3" s="1"/>
  <c r="B167" i="3" s="1"/>
  <c r="B122" i="3"/>
  <c r="B123" i="3" s="1"/>
  <c r="B124" i="3" s="1"/>
  <c r="B125" i="3" s="1"/>
  <c r="B126" i="3" s="1"/>
  <c r="B127" i="3" s="1"/>
  <c r="B128" i="3" s="1"/>
  <c r="B129" i="3" s="1"/>
  <c r="B130" i="3" s="1"/>
  <c r="B131" i="3" s="1"/>
  <c r="B134" i="3"/>
  <c r="B135" i="3" s="1"/>
  <c r="B136" i="3" s="1"/>
  <c r="B137" i="3" s="1"/>
  <c r="B138" i="3" s="1"/>
  <c r="B139" i="3" s="1"/>
  <c r="B140" i="3" s="1"/>
  <c r="B141" i="3" s="1"/>
  <c r="B142" i="3" s="1"/>
  <c r="B143" i="3" s="1"/>
  <c r="B170" i="3"/>
  <c r="B171" i="3" s="1"/>
  <c r="B172" i="3" s="1"/>
  <c r="B173" i="3" s="1"/>
  <c r="B174" i="3" s="1"/>
  <c r="B175" i="3" s="1"/>
  <c r="B176" i="3" s="1"/>
  <c r="B177" i="3" s="1"/>
  <c r="B178" i="3" s="1"/>
  <c r="B179" i="3" s="1"/>
  <c r="B182" i="3"/>
  <c r="B183" i="3" s="1"/>
  <c r="B184" i="3" s="1"/>
  <c r="B185" i="3" s="1"/>
  <c r="B186" i="3" s="1"/>
  <c r="B187" i="3" s="1"/>
  <c r="B188" i="3" s="1"/>
  <c r="B189" i="3" s="1"/>
  <c r="B190" i="3" s="1"/>
  <c r="B191" i="3" s="1"/>
  <c r="N37" i="3" l="1"/>
  <c r="B14" i="3"/>
  <c r="B15" i="3" s="1"/>
  <c r="B16" i="3" s="1"/>
  <c r="B17" i="3" s="1"/>
  <c r="B18" i="3" s="1"/>
  <c r="B19" i="3" s="1"/>
  <c r="B20" i="3" s="1"/>
  <c r="B21" i="3" s="1"/>
  <c r="B22" i="3" s="1"/>
  <c r="B23" i="3" s="1"/>
  <c r="B50" i="3"/>
  <c r="B51" i="3" s="1"/>
  <c r="B52" i="3" s="1"/>
  <c r="B53" i="3" s="1"/>
  <c r="B54" i="3" s="1"/>
  <c r="B55" i="3" s="1"/>
  <c r="B56" i="3" s="1"/>
  <c r="B57" i="3" s="1"/>
  <c r="B58" i="3" s="1"/>
  <c r="B59" i="3" s="1"/>
  <c r="B26" i="3"/>
  <c r="B27" i="3" s="1"/>
  <c r="B28" i="3" s="1"/>
  <c r="B29" i="3" s="1"/>
  <c r="B30" i="3" s="1"/>
  <c r="B31" i="3" s="1"/>
  <c r="B32" i="3" s="1"/>
  <c r="B33" i="3" s="1"/>
  <c r="B34" i="3" s="1"/>
  <c r="B35" i="3" s="1"/>
  <c r="B62" i="3"/>
  <c r="B63" i="3" s="1"/>
  <c r="B64" i="3" s="1"/>
  <c r="B65" i="3" s="1"/>
  <c r="B66" i="3" s="1"/>
  <c r="B67" i="3" s="1"/>
  <c r="B68" i="3" s="1"/>
  <c r="B69" i="3" s="1"/>
  <c r="B70" i="3" s="1"/>
  <c r="B71" i="3" s="1"/>
  <c r="C39" i="2" l="1"/>
  <c r="C46" i="2" s="1"/>
  <c r="N194" i="3" l="1"/>
  <c r="N193" i="3" s="1"/>
  <c r="K194" i="3"/>
  <c r="K193" i="3" s="1"/>
  <c r="J194" i="3"/>
  <c r="J193" i="3" s="1"/>
  <c r="N13" i="3"/>
  <c r="N12" i="3" s="1"/>
  <c r="M13" i="3"/>
  <c r="M12" i="3" s="1"/>
  <c r="L13" i="3"/>
  <c r="L12" i="3" s="1"/>
  <c r="K13" i="3"/>
  <c r="J13" i="3"/>
  <c r="J12" i="3" s="1"/>
  <c r="B87" i="3"/>
  <c r="B88" i="3" s="1"/>
  <c r="B89" i="3" s="1"/>
  <c r="B90" i="3" s="1"/>
  <c r="B91" i="3" s="1"/>
  <c r="B92" i="3" s="1"/>
  <c r="B93" i="3" s="1"/>
  <c r="B94" i="3" s="1"/>
  <c r="B95" i="3" s="1"/>
  <c r="B75" i="3"/>
  <c r="B76" i="3" s="1"/>
  <c r="B77" i="3" s="1"/>
  <c r="B78" i="3" s="1"/>
  <c r="B79" i="3" s="1"/>
  <c r="B80" i="3" s="1"/>
  <c r="B81" i="3" s="1"/>
  <c r="B82" i="3" s="1"/>
  <c r="B83" i="3" s="1"/>
  <c r="J247" i="3" l="1"/>
  <c r="J233" i="3"/>
  <c r="J245" i="3"/>
  <c r="J221" i="3"/>
  <c r="J223" i="3"/>
  <c r="J246" i="3"/>
  <c r="J222" i="3"/>
  <c r="L245" i="3"/>
  <c r="L223" i="3"/>
  <c r="L233" i="3"/>
  <c r="L232" i="3" s="1"/>
  <c r="L247" i="3"/>
  <c r="L222" i="3"/>
  <c r="L246" i="3"/>
  <c r="L221" i="3"/>
  <c r="L220" i="3" s="1"/>
  <c r="L219" i="3" s="1"/>
  <c r="N223" i="3"/>
  <c r="N246" i="3"/>
  <c r="N221" i="3"/>
  <c r="N222" i="3"/>
  <c r="N245" i="3"/>
  <c r="N233" i="3"/>
  <c r="N232" i="3" s="1"/>
  <c r="N247" i="3"/>
  <c r="M247" i="3"/>
  <c r="M223" i="3"/>
  <c r="M233" i="3"/>
  <c r="M232" i="3" s="1"/>
  <c r="M246" i="3"/>
  <c r="M221" i="3"/>
  <c r="M222" i="3"/>
  <c r="M245" i="3"/>
  <c r="K12" i="3"/>
  <c r="J220" i="3" l="1"/>
  <c r="K222" i="3"/>
  <c r="O222" i="3" s="1"/>
  <c r="R222" i="3" s="1"/>
  <c r="K233" i="3"/>
  <c r="K232" i="3" s="1"/>
  <c r="K245" i="3"/>
  <c r="O245" i="3" s="1"/>
  <c r="R245" i="3" s="1"/>
  <c r="K247" i="3"/>
  <c r="O247" i="3" s="1"/>
  <c r="R247" i="3" s="1"/>
  <c r="K246" i="3"/>
  <c r="O246" i="3" s="1"/>
  <c r="R246" i="3" s="1"/>
  <c r="K221" i="3"/>
  <c r="K223" i="3"/>
  <c r="O223" i="3" s="1"/>
  <c r="R223" i="3" s="1"/>
  <c r="J232" i="3"/>
  <c r="M220" i="3"/>
  <c r="M219" i="3" s="1"/>
  <c r="N220" i="3"/>
  <c r="N219" i="3" s="1"/>
  <c r="N11" i="3" s="1"/>
  <c r="L194" i="3"/>
  <c r="L193" i="3" s="1"/>
  <c r="L11" i="3" s="1"/>
  <c r="O233" i="3" l="1"/>
  <c r="O232" i="3" s="1"/>
  <c r="K220" i="3"/>
  <c r="K219" i="3" s="1"/>
  <c r="K11" i="3" s="1"/>
  <c r="J219" i="3"/>
  <c r="J11" i="3" s="1"/>
  <c r="O221" i="3"/>
  <c r="M194" i="3"/>
  <c r="M193" i="3" s="1"/>
  <c r="M11" i="3" s="1"/>
  <c r="R233" i="3" l="1"/>
  <c r="O220" i="3"/>
  <c r="O219" i="3" s="1"/>
  <c r="O11" i="3" s="1"/>
  <c r="R22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Elena Sanz Tirado</author>
  </authors>
  <commentList>
    <comment ref="E14" authorId="0" shapeId="0" xr:uid="{02984517-8AA7-4332-8221-8EFF394A081C}">
      <text>
        <r>
          <rPr>
            <b/>
            <sz val="9"/>
            <color indexed="81"/>
            <rFont val="Tahoma"/>
            <family val="2"/>
          </rPr>
          <t>building maintenance unit (Góndola)</t>
        </r>
      </text>
    </comment>
  </commentList>
</comments>
</file>

<file path=xl/sharedStrings.xml><?xml version="1.0" encoding="utf-8"?>
<sst xmlns="http://schemas.openxmlformats.org/spreadsheetml/2006/main" count="1554" uniqueCount="279">
  <si>
    <t>UPS</t>
  </si>
  <si>
    <t>TOTAL</t>
  </si>
  <si>
    <t>General</t>
  </si>
  <si>
    <t>Item</t>
  </si>
  <si>
    <t>Description</t>
  </si>
  <si>
    <t>BMS</t>
  </si>
  <si>
    <t>PPV</t>
  </si>
  <si>
    <t>HARD COSTS</t>
  </si>
  <si>
    <t>SOFT COSTS</t>
  </si>
  <si>
    <t>Project Monitoring</t>
  </si>
  <si>
    <t>NO</t>
  </si>
  <si>
    <t>N.A.</t>
  </si>
  <si>
    <t>-</t>
  </si>
  <si>
    <t>INDUSTRIAL</t>
  </si>
  <si>
    <t>HOTEL</t>
  </si>
  <si>
    <t>WIFI</t>
  </si>
  <si>
    <t>Other licenses</t>
  </si>
  <si>
    <t>Works permit (ICIO, Tax on Construction, Installations and Works)</t>
  </si>
  <si>
    <t>HC</t>
  </si>
  <si>
    <t>01.01</t>
  </si>
  <si>
    <t>Hard_Cost</t>
  </si>
  <si>
    <t>Soft_Cost</t>
  </si>
  <si>
    <t>Contingencies</t>
  </si>
  <si>
    <t>H08.HVAC</t>
  </si>
  <si>
    <t>H15.Others</t>
  </si>
  <si>
    <t>SC</t>
  </si>
  <si>
    <t>M</t>
  </si>
  <si>
    <t>E</t>
  </si>
  <si>
    <t>ESG</t>
  </si>
  <si>
    <t>h. ESG</t>
  </si>
  <si>
    <t>j. Soft Cost</t>
  </si>
  <si>
    <t>Categories and Item</t>
  </si>
  <si>
    <t>Cost Type</t>
  </si>
  <si>
    <t>Operating</t>
  </si>
  <si>
    <t>Environmental</t>
  </si>
  <si>
    <t>ESG_Energy</t>
  </si>
  <si>
    <t>Contingencies</t>
  </si>
  <si>
    <t>H01.Structure</t>
  </si>
  <si>
    <t>S01.Design, Engineering &amp; Construction Management</t>
  </si>
  <si>
    <t>Construction Utilities</t>
  </si>
  <si>
    <t>H02.Roof</t>
  </si>
  <si>
    <t>S02.Additional Works</t>
  </si>
  <si>
    <t>Cleaning</t>
  </si>
  <si>
    <t>H03.Facades</t>
  </si>
  <si>
    <t>S03.Permits and Fees</t>
  </si>
  <si>
    <t>H04.Interiors</t>
  </si>
  <si>
    <t>H05.External_Areas</t>
  </si>
  <si>
    <t>H06.Passive_Fire_Protection</t>
  </si>
  <si>
    <t>H07.Accessibility</t>
  </si>
  <si>
    <t>H09.Electrical</t>
  </si>
  <si>
    <t>H10.Active_Fire_Protection</t>
  </si>
  <si>
    <t>H11.Plumbing_and_Drainage</t>
  </si>
  <si>
    <t>H12.Vertical_Transportation_and_Mechanical_Doors</t>
  </si>
  <si>
    <t>H13.Security_CCTV_and_BMS</t>
  </si>
  <si>
    <t>H14.Telecommunications_Voice_and_Data</t>
  </si>
  <si>
    <t>Hard Cost Item</t>
  </si>
  <si>
    <t>Foundations</t>
  </si>
  <si>
    <t>Ground Slab</t>
  </si>
  <si>
    <t>Floor Slabs</t>
  </si>
  <si>
    <t>Structure</t>
  </si>
  <si>
    <t>Roof</t>
  </si>
  <si>
    <t>Facades</t>
  </si>
  <si>
    <t>Interior partitions and interior finishes</t>
  </si>
  <si>
    <t>Joinery and Metalwork</t>
  </si>
  <si>
    <t>Floors and ceilings</t>
  </si>
  <si>
    <t>Exteriors</t>
  </si>
  <si>
    <t>Compartmentation</t>
  </si>
  <si>
    <t>Special risk areas</t>
  </si>
  <si>
    <t>Concealed spaces and service penetrations</t>
  </si>
  <si>
    <t>Structural fire resistance</t>
  </si>
  <si>
    <t>Fire reaction of construction elements</t>
  </si>
  <si>
    <t>Horizontal external fire spread</t>
  </si>
  <si>
    <t>Vertical external fire spread</t>
  </si>
  <si>
    <t>Roof external fire spread</t>
  </si>
  <si>
    <t>Occupant evacuation</t>
  </si>
  <si>
    <t>External accessibility</t>
  </si>
  <si>
    <t>Accessibility between floors</t>
  </si>
  <si>
    <t>Accessibility on floors</t>
  </si>
  <si>
    <t>Accessible parking spaces provision</t>
  </si>
  <si>
    <t>Accessible sanitary facilities provision</t>
  </si>
  <si>
    <t>Fixed furniture</t>
  </si>
  <si>
    <t>Evacuation of people with disabilities</t>
  </si>
  <si>
    <t>SIA Signage</t>
  </si>
  <si>
    <t>Installations</t>
  </si>
  <si>
    <t>Cooling production</t>
  </si>
  <si>
    <t>Heating production</t>
  </si>
  <si>
    <t>Distribution</t>
  </si>
  <si>
    <t>Booster pumps</t>
  </si>
  <si>
    <t>Terminal units</t>
  </si>
  <si>
    <t>Humidification</t>
  </si>
  <si>
    <t>Primary air ventilation</t>
  </si>
  <si>
    <t>Extraction</t>
  </si>
  <si>
    <t>Natural smoke ventilation</t>
  </si>
  <si>
    <t>Power supply-Transformer station</t>
  </si>
  <si>
    <t>Main LV Switchboard</t>
  </si>
  <si>
    <t>LV Busbar</t>
  </si>
  <si>
    <t>Metering center</t>
  </si>
  <si>
    <t>Secondary distribution boards</t>
  </si>
  <si>
    <t>Capacitor bank</t>
  </si>
  <si>
    <t>Emergency generator</t>
  </si>
  <si>
    <t>Cabling</t>
  </si>
  <si>
    <t>Lighting</t>
  </si>
  <si>
    <t>Emergency lighting</t>
  </si>
  <si>
    <t>Lightning protection</t>
  </si>
  <si>
    <t>Grounding system</t>
  </si>
  <si>
    <t>Photovoltaic panels</t>
  </si>
  <si>
    <t>Fire pump set</t>
  </si>
  <si>
    <t>Fire hydrants</t>
  </si>
  <si>
    <t>Water tank</t>
  </si>
  <si>
    <t>Dry riser</t>
  </si>
  <si>
    <t>Fire hose reels</t>
  </si>
  <si>
    <t>Portable fire extinguishers</t>
  </si>
  <si>
    <t>Gas suppression system</t>
  </si>
  <si>
    <t>CO detection</t>
  </si>
  <si>
    <t>Parking CO extraction and ventilation</t>
  </si>
  <si>
    <t>Sprinklers</t>
  </si>
  <si>
    <t>Fire detection and alarm</t>
  </si>
  <si>
    <t>RIPCI inspection</t>
  </si>
  <si>
    <t>Smoke vents</t>
  </si>
  <si>
    <t>Service connection</t>
  </si>
  <si>
    <t>Booster pump set</t>
  </si>
  <si>
    <t>Water tanks</t>
  </si>
  <si>
    <t>Sanitary facilities</t>
  </si>
  <si>
    <t>DHW production</t>
  </si>
  <si>
    <t>Drainage</t>
  </si>
  <si>
    <t>Minimum renewable contribution</t>
  </si>
  <si>
    <t>Elevator</t>
  </si>
  <si>
    <t>Parking access</t>
  </si>
  <si>
    <t>Building maintenance unit</t>
  </si>
  <si>
    <t>Escalators</t>
  </si>
  <si>
    <t>Main entrance door</t>
  </si>
  <si>
    <t>Access control</t>
  </si>
  <si>
    <t>CCTV installation</t>
  </si>
  <si>
    <t>Security control room</t>
  </si>
  <si>
    <t>Public address systems</t>
  </si>
  <si>
    <t>Voice and data</t>
  </si>
  <si>
    <t>Intercom</t>
  </si>
  <si>
    <t>H15.Others</t>
  </si>
  <si>
    <t>Environmental Item</t>
  </si>
  <si>
    <t>Legal status</t>
  </si>
  <si>
    <t>Municipal waste management</t>
  </si>
  <si>
    <t>Hazardous waste management</t>
  </si>
  <si>
    <t>Gas emissions</t>
  </si>
  <si>
    <t>Water consumption</t>
  </si>
  <si>
    <t>Drainage systems</t>
  </si>
  <si>
    <t>Noise</t>
  </si>
  <si>
    <t>Soil contamination</t>
  </si>
  <si>
    <t>Hazardous substances storage</t>
  </si>
  <si>
    <t>Ozone depleting substances (ODS)</t>
  </si>
  <si>
    <t>Potential PCB presence</t>
  </si>
  <si>
    <t>Sustainability certificate</t>
  </si>
  <si>
    <t>ESG Item</t>
  </si>
  <si>
    <t>CRREM Analysis</t>
  </si>
  <si>
    <t>Climate Risk Analysis</t>
  </si>
  <si>
    <t>BREEAM Certification</t>
  </si>
  <si>
    <t>LEED Certification</t>
  </si>
  <si>
    <t>WELL Certification</t>
  </si>
  <si>
    <t>WIREDSCORE Certification</t>
  </si>
  <si>
    <t>Energy Performance Certificate</t>
  </si>
  <si>
    <t>Net Zero Audit</t>
  </si>
  <si>
    <t>Energy Audit</t>
  </si>
  <si>
    <t>New EPBD Regulation Compliance</t>
  </si>
  <si>
    <t>NOTES:
- Yellow shading --&gt; data to fill in / confirm
- Red text --&gt; data to configure per asset</t>
  </si>
  <si>
    <t>PROJECT INFORMATION</t>
  </si>
  <si>
    <t>AFFECTED AREA</t>
  </si>
  <si>
    <t>OFFICES</t>
  </si>
  <si>
    <t>RETAIL</t>
  </si>
  <si>
    <t>HEALTHCARE</t>
  </si>
  <si>
    <t>OTHERS</t>
  </si>
  <si>
    <t>CONCEPT AND TENANT</t>
  </si>
  <si>
    <t>Concept</t>
  </si>
  <si>
    <t>Tenant</t>
  </si>
  <si>
    <t>Affected Area</t>
  </si>
  <si>
    <t>a. Maintenance</t>
  </si>
  <si>
    <t>YES</t>
  </si>
  <si>
    <t>Project Name</t>
  </si>
  <si>
    <t>specify</t>
  </si>
  <si>
    <t>Technical Rooms</t>
  </si>
  <si>
    <t>b. Repair</t>
  </si>
  <si>
    <t>Address</t>
  </si>
  <si>
    <t>Parking</t>
  </si>
  <si>
    <t>c. Regulatory</t>
  </si>
  <si>
    <t>Date</t>
  </si>
  <si>
    <t>Offices</t>
  </si>
  <si>
    <t>f. Improvement</t>
  </si>
  <si>
    <t>Year of Construction</t>
  </si>
  <si>
    <t>Restrooms</t>
  </si>
  <si>
    <t>e. Safety</t>
  </si>
  <si>
    <t>d. End of useful life</t>
  </si>
  <si>
    <t>Plot Area (sqm)</t>
  </si>
  <si>
    <t>External areas</t>
  </si>
  <si>
    <t>g. Other</t>
  </si>
  <si>
    <t>Total Building Area (sqm)</t>
  </si>
  <si>
    <t>Main lobby</t>
  </si>
  <si>
    <t>Warehouse Area (sqm)</t>
  </si>
  <si>
    <t>Stairwell core</t>
  </si>
  <si>
    <t>i. Environmental</t>
  </si>
  <si>
    <t>Office Area (sqm)</t>
  </si>
  <si>
    <t>Warehouse</t>
  </si>
  <si>
    <t>Floor lobby</t>
  </si>
  <si>
    <t>Warehouse Height (m)</t>
  </si>
  <si>
    <t>Changing rooms</t>
  </si>
  <si>
    <t>Staff rooms</t>
  </si>
  <si>
    <t>Guest rooms</t>
  </si>
  <si>
    <t>Commercial area</t>
  </si>
  <si>
    <t>Patient rooms</t>
  </si>
  <si>
    <t>Building Type</t>
  </si>
  <si>
    <t>Kitchen</t>
  </si>
  <si>
    <t>Restaurants</t>
  </si>
  <si>
    <t>Healthcare rooms</t>
  </si>
  <si>
    <t>Restaurant</t>
  </si>
  <si>
    <t>Gym</t>
  </si>
  <si>
    <t>Swimming pool</t>
  </si>
  <si>
    <t>Design and Construction Management Fees (DF)</t>
  </si>
  <si>
    <t>Site Supervision (DEO)</t>
  </si>
  <si>
    <t>Health and Safety Coordination (H&amp;S)</t>
  </si>
  <si>
    <t>ECLU Fees</t>
  </si>
  <si>
    <t>TIMEFRAMES</t>
  </si>
  <si>
    <t>SHORT TERM
(0-2 YEARS)</t>
  </si>
  <si>
    <t>One to two years</t>
  </si>
  <si>
    <t>MEDIUM TERM
(3-5 YEARS)</t>
  </si>
  <si>
    <t>Three to five years</t>
  </si>
  <si>
    <t>LONG TERM
(6-10 YEARS)</t>
  </si>
  <si>
    <t>Six to ten years</t>
  </si>
  <si>
    <t>IMPROVEMENTS</t>
  </si>
  <si>
    <t>Improvements to be made by the owner to increase value</t>
  </si>
  <si>
    <t>OTHER</t>
  </si>
  <si>
    <t>RISK</t>
  </si>
  <si>
    <t>04 Extreme</t>
  </si>
  <si>
    <t>Irrefutable anomalies expected to be claimed by the buyer requiring a commitment to resolve within an agreed timeframe. This group includes anomalies that by their nature affect building deterioration, may constitute a clear breach of current regulations and/or may impact operations.</t>
  </si>
  <si>
    <t>03 High</t>
  </si>
  <si>
    <t>Anomalies that may be interpreted as non-compliant but are open to interpretation and could be negotiated without becoming relevant to the transaction.</t>
  </si>
  <si>
    <t>02 Moderate</t>
  </si>
  <si>
    <t>Anomalies due to age (parts of the property that have exceeded their useful life) which, although currently may not be negatively and substantially affecting operations, we believe will require renovation to be addressed in the transaction.</t>
  </si>
  <si>
    <t>01 Low</t>
  </si>
  <si>
    <t>Aspects that would improve the building's efficiency and/or performance, although not required due to regulatory non-compliance, necessary repair, or renewal due to end of useful life.</t>
  </si>
  <si>
    <t>Project Name:</t>
  </si>
  <si>
    <t>Address:</t>
  </si>
  <si>
    <t>Inspection Date:</t>
  </si>
  <si>
    <t>Year of Construction:</t>
  </si>
  <si>
    <t>This red-flag report summarizes the issues found during the inspection visit</t>
  </si>
  <si>
    <t>The information contained in this report has been obtained as a result of the visual inspection during the site visit and the review of the documentation received</t>
  </si>
  <si>
    <t>ESTIMATED CAPEX</t>
  </si>
  <si>
    <t>Category</t>
  </si>
  <si>
    <t>Risk</t>
  </si>
  <si>
    <t>Comments</t>
  </si>
  <si>
    <t>Units</t>
  </si>
  <si>
    <t>€/unit</t>
  </si>
  <si>
    <t>AMOUNT</t>
  </si>
  <si>
    <t>Recoverable from tenant(s)</t>
  </si>
  <si>
    <t>ENVIRONMENTAL</t>
  </si>
  <si>
    <t>ESG &amp; ENERGY</t>
  </si>
  <si>
    <t>REFRESH TABLE DATA</t>
  </si>
  <si>
    <t xml:space="preserve"> </t>
  </si>
  <si>
    <t xml:space="preserve"> SHORT TERM
(0-2 YEARS)</t>
  </si>
  <si>
    <t xml:space="preserve"> MEDIUM TERM
(3-5 YEARS)</t>
  </si>
  <si>
    <t xml:space="preserve"> LONG TERM
(6-10 YEARS)</t>
  </si>
  <si>
    <t xml:space="preserve"> IMPROVEMENTS</t>
  </si>
  <si>
    <t xml:space="preserve"> OTHER</t>
  </si>
  <si>
    <t xml:space="preserve"> TOTAL</t>
  </si>
  <si>
    <t xml:space="preserve">TOTAL </t>
  </si>
  <si>
    <t>Total</t>
  </si>
  <si>
    <t>Schedule / Risk</t>
  </si>
  <si>
    <t>SCHEDULE / RISK</t>
  </si>
  <si>
    <t>TENANT</t>
  </si>
  <si>
    <t>CONCEPT</t>
  </si>
  <si>
    <t>SCHEDULE</t>
  </si>
  <si>
    <t>SHORT TERM</t>
  </si>
  <si>
    <t>MEDIUM TERM</t>
  </si>
  <si>
    <t>LONG TERM</t>
  </si>
  <si>
    <t>(Varios elementos)</t>
  </si>
  <si>
    <t>Schedule</t>
  </si>
  <si>
    <t>Drafting of Projects and Technical Management (DF, for its Spanish initials)</t>
  </si>
  <si>
    <t>Directorate for Execution of Work (DEO, for its Spanish initials)</t>
  </si>
  <si>
    <t>Health and Safety Coordination (PRL, for its Spanish initials)</t>
  </si>
  <si>
    <t>ECLU (Urban Collaborating Entities) Fees</t>
  </si>
  <si>
    <t>Works permit (ICIO, Tax on Construction, Installations and Works)</t>
  </si>
  <si>
    <t xml:space="preserve">Other licenses </t>
  </si>
  <si>
    <t>Estimated % (delete if not applicable or adapt if necessary)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</si>
</sst>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5" formatCode="#,##0\ &quot;€&quot;;\-#,##0\ &quot;€&quot;"/>
    <numFmt numFmtId="44" formatCode="_-* #,##0.00\ &quot;€&quot;_-;\-* #,##0.00\ &quot;€&quot;_-;_-* &quot;-&quot;??\ &quot;€&quot;_-;_-@_-"/>
    <numFmt numFmtId="164" formatCode="_-[$€-2]\ * #,##0.00_-;\-[$€-2]\ * #,##0.00_-;_-[$€-2]\ * &quot;-&quot;??_-;_-@_-"/>
    <numFmt numFmtId="165" formatCode="_-* #,##0.00\ [$€-C0A]_-;\-* #,##0.00\ [$€-C0A]_-;_-* &quot;-&quot;??\ [$€-C0A]_-;_-@_-"/>
    <numFmt numFmtId="166" formatCode="0.0%"/>
    <numFmt numFmtId="167" formatCode="#,##0.00\ [$€-C0A];\-#,##0.00\ [$€-C0A]"/>
    <numFmt numFmtId="168" formatCode="yyyy\-mm\-dd;@"/>
    <numFmt numFmtId="169" formatCode="#,##0_ ;\-#,##0\ "/>
    <numFmt numFmtId="170" formatCode="#,##0.0_ ;\-#,##0.0\ "/>
    <numFmt numFmtId="171" formatCode="00000"/>
    <numFmt numFmtId="172" formatCode="00"/>
    <numFmt numFmtId="173" formatCode="0,000"/>
    <numFmt numFmtId="174" formatCode="#,##0\ &quot;€&quot;"/>
    <numFmt numFmtId="175" formatCode="#,##0.00\ &quot;€&quot;"/>
  </numFmts>
  <fonts count="66" x14ac:knownFonts="1">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theme="1"/>
      <name val="Calibri"/>
      <family val="2"/>
      <scheme val="minor"/>
    </font>
    <font>
      <sz val="10"/>
      <name val="Arial"/>
      <family val="2"/>
    </font>
    <font>
      <b/>
      <sz val="9"/>
      <color indexed="81"/>
      <name val="Tahoma"/>
      <family val="2"/>
    </font>
    <font>
      <sz val="11"/>
      <color theme="1"/>
      <name val="Century Gothic"/>
      <family val="2"/>
    </font>
    <font>
      <b/>
      <sz val="9"/>
      <color theme="1"/>
      <name val="Century Gothic"/>
      <family val="2"/>
    </font>
    <font>
      <sz val="9"/>
      <color theme="1"/>
      <name val="Century Gothic"/>
      <family val="2"/>
    </font>
    <font>
      <b/>
      <sz val="9"/>
      <color theme="0"/>
      <name val="Century Gothic"/>
      <family val="2"/>
    </font>
    <font>
      <b/>
      <sz val="9"/>
      <name val="Century Gothic"/>
      <family val="2"/>
    </font>
    <font>
      <sz val="9"/>
      <name val="Century Gothic"/>
      <family val="2"/>
    </font>
    <font>
      <sz val="9"/>
      <color theme="9" tint="-0.249977111117893"/>
      <name val="Century Gothic"/>
      <family val="2"/>
    </font>
    <font>
      <sz val="9"/>
      <color theme="8" tint="-0.249977111117893"/>
      <name val="Century Gothic"/>
      <family val="2"/>
    </font>
    <font>
      <sz val="9"/>
      <color rgb="FFFF0000"/>
      <name val="Century Gothic"/>
      <family val="2"/>
    </font>
    <font>
      <sz val="9"/>
      <color theme="7" tint="-0.249977111117893"/>
      <name val="Century Gothic"/>
      <family val="2"/>
    </font>
    <font>
      <sz val="9"/>
      <color rgb="FF006100"/>
      <name val="Century Gothic"/>
      <family val="2"/>
    </font>
    <font>
      <sz val="9"/>
      <color rgb="FF9C0006"/>
      <name val="Century Gothic"/>
      <family val="2"/>
    </font>
    <font>
      <b/>
      <sz val="9"/>
      <color rgb="FFFF0000"/>
      <name val="Century Gothic"/>
      <family val="2"/>
    </font>
    <font>
      <sz val="8"/>
      <color theme="1"/>
      <name val="Century Gothic"/>
      <family val="2"/>
    </font>
    <font>
      <b/>
      <sz val="10"/>
      <color theme="1"/>
      <name val="Century Gothic"/>
      <family val="2"/>
    </font>
    <font>
      <b/>
      <sz val="13"/>
      <color theme="1"/>
      <name val="Century Gothic"/>
      <family val="2"/>
    </font>
    <font>
      <sz val="8"/>
      <name val="Calibri"/>
      <family val="2"/>
      <scheme val="minor"/>
    </font>
    <font>
      <sz val="9"/>
      <color rgb="FFC00000"/>
      <name val="Century Gothic"/>
      <family val="2"/>
    </font>
    <font>
      <b/>
      <sz val="9"/>
      <color rgb="FFFFFFFF"/>
      <name val="Century Gothic"/>
      <family val="2"/>
    </font>
    <font>
      <i/>
      <sz val="10"/>
      <name val="Century Gothic"/>
      <family val="2"/>
    </font>
    <font>
      <sz val="10"/>
      <color theme="1"/>
      <name val="Century Gothic"/>
      <family val="2"/>
    </font>
    <font>
      <sz val="10"/>
      <color theme="1"/>
      <name val="Aptos"/>
      <family val="2"/>
    </font>
    <font>
      <b/>
      <sz val="10"/>
      <color theme="0"/>
      <name val="Aptos"/>
      <family val="2"/>
    </font>
    <font>
      <b/>
      <sz val="10"/>
      <color theme="1"/>
      <name val="Aptos"/>
      <family val="2"/>
    </font>
    <font>
      <sz val="10"/>
      <color theme="0"/>
      <name val="Aptos"/>
      <family val="2"/>
    </font>
    <font>
      <b/>
      <sz val="11"/>
      <color theme="0"/>
      <name val="Century Gothic"/>
      <family val="2"/>
    </font>
    <font>
      <sz val="11"/>
      <color theme="0"/>
      <name val="Century Gothic"/>
      <family val="2"/>
    </font>
    <font>
      <sz val="9"/>
      <color rgb="FF7030A0"/>
      <name val="Century Gothic"/>
      <family val="2"/>
    </font>
    <font>
      <sz val="9"/>
      <color rgb="FF002060"/>
      <name val="Century Gothic"/>
      <family val="2"/>
    </font>
    <font>
      <sz val="9"/>
      <color theme="4" tint="-0.499984740745262"/>
      <name val="Century Gothic"/>
      <family val="2"/>
    </font>
    <font>
      <b/>
      <sz val="9"/>
      <color rgb="FF0070C0"/>
      <name val="Century Gothic"/>
      <family val="2"/>
    </font>
    <font>
      <sz val="9"/>
      <color theme="9" tint="-0.499984740745262"/>
      <name val="Century Gothic"/>
      <family val="2"/>
    </font>
    <font>
      <b/>
      <sz val="9"/>
      <color theme="9" tint="-0.499984740745262"/>
      <name val="Century Gothic"/>
      <family val="2"/>
    </font>
    <font>
      <sz val="10"/>
      <color theme="1"/>
      <name val="Arial"/>
      <family val="2"/>
    </font>
    <font>
      <sz val="10"/>
      <name val="Arial"/>
      <family val="2"/>
    </font>
    <font>
      <b/>
      <sz val="22"/>
      <color theme="1"/>
      <name val="Century Gothic"/>
      <family val="2"/>
    </font>
    <font>
      <b/>
      <sz val="28"/>
      <color theme="1"/>
      <name val="Century Gothic"/>
      <family val="2"/>
    </font>
    <font>
      <b/>
      <sz val="12"/>
      <name val="Century Gothic"/>
      <family val="2"/>
    </font>
    <font>
      <sz val="12"/>
      <color theme="1"/>
      <name val="Century Gothic"/>
      <family val="2"/>
    </font>
    <font>
      <b/>
      <sz val="12"/>
      <color theme="0"/>
      <name val="Century Gothic"/>
      <family val="2"/>
    </font>
    <font>
      <sz val="12"/>
      <color rgb="FF000000"/>
      <name val="Century Gothic"/>
      <family val="2"/>
    </font>
    <font>
      <b/>
      <sz val="12"/>
      <color rgb="FFFFFFFF"/>
      <name val="Century Gothic"/>
      <family val="2"/>
    </font>
    <font>
      <b/>
      <sz val="12"/>
      <color rgb="FF0070C0"/>
      <name val="Century Gothic"/>
      <family val="2"/>
    </font>
    <font>
      <b/>
      <sz val="12"/>
      <color theme="9" tint="-0.499984740745262"/>
      <name val="Century Gothic"/>
      <family val="2"/>
    </font>
    <font>
      <b/>
      <sz val="12"/>
      <color rgb="FF7030A0"/>
      <name val="Century Gothic"/>
      <family val="2"/>
    </font>
    <font>
      <sz val="12"/>
      <color rgb="FF9C0006"/>
      <name val="Century Gothic"/>
      <family val="2"/>
    </font>
    <font>
      <sz val="12"/>
      <color theme="1"/>
      <name val="Calibri"/>
      <family val="2"/>
      <scheme val="minor"/>
    </font>
    <font>
      <b/>
      <i/>
      <sz val="9"/>
      <name val="Century Gothic"/>
      <family val="2"/>
    </font>
    <font>
      <b/>
      <sz val="14"/>
      <color rgb="FFFF0000"/>
      <name val="Century Gothic"/>
      <family val="2"/>
    </font>
    <font>
      <b/>
      <sz val="11"/>
      <color theme="1"/>
      <name val="Century Gothic"/>
      <family val="2"/>
    </font>
    <font>
      <sz val="14"/>
      <color theme="0"/>
      <name val="Century Gothic"/>
      <family val="2"/>
    </font>
    <font>
      <sz val="14"/>
      <color theme="1"/>
      <name val="Century Gothic"/>
      <family val="2"/>
    </font>
    <font>
      <b/>
      <sz val="14"/>
      <color rgb="FF404040"/>
      <name val="Century Gothic"/>
      <family val="2"/>
    </font>
    <font>
      <b/>
      <sz val="12"/>
      <color theme="1"/>
      <name val="Century Gothic"/>
      <family val="2"/>
    </font>
    <font>
      <sz val="12"/>
      <color theme="8" tint="-0.249977111117893"/>
      <name val="Century Gothic"/>
      <family val="2"/>
    </font>
    <font>
      <sz val="12"/>
      <color theme="4" tint="-0.499984740745262"/>
      <name val="Century Gothic"/>
      <family val="2"/>
    </font>
    <font>
      <sz val="12"/>
      <color rgb="FF002060"/>
      <name val="Century Gothic"/>
      <family val="2"/>
    </font>
    <font>
      <sz val="12"/>
      <color theme="9" tint="-0.499984740745262"/>
      <name val="Century Gothic"/>
      <family val="2"/>
    </font>
    <font>
      <sz val="12"/>
      <color rgb="FF7030A0"/>
      <name val="Century Gothic"/>
      <family val="2"/>
    </font>
  </fonts>
  <fills count="34">
    <fill>
      <patternFill patternType="none"/>
    </fill>
    <fill>
      <patternFill patternType="gray125"/>
    </fill>
    <fill>
      <patternFill patternType="solid">
        <fgColor rgb="FF948A54"/>
        <bgColor indexed="64"/>
      </patternFill>
    </fill>
    <fill>
      <patternFill patternType="solid">
        <fgColor rgb="FF0C1E3C"/>
        <bgColor indexed="64"/>
      </patternFill>
    </fill>
    <fill>
      <patternFill patternType="solid">
        <fgColor theme="0" tint="-0.3499862666707357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0" tint="-0.249977111117893"/>
        <bgColor indexed="64"/>
      </patternFill>
    </fill>
    <fill>
      <patternFill patternType="solid">
        <fgColor theme="0"/>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rgb="FF002060"/>
        <bgColor indexed="64"/>
      </patternFill>
    </fill>
    <fill>
      <patternFill patternType="solid">
        <fgColor rgb="FF002060"/>
        <bgColor rgb="FF000000"/>
      </patternFill>
    </fill>
    <fill>
      <patternFill patternType="solid">
        <fgColor theme="0" tint="-0.499984740745262"/>
        <bgColor rgb="FF000000"/>
      </patternFill>
    </fill>
    <fill>
      <patternFill patternType="solid">
        <fgColor rgb="FFFFE843"/>
        <bgColor indexed="64"/>
      </patternFill>
    </fill>
    <fill>
      <patternFill patternType="solid">
        <fgColor theme="0"/>
        <bgColor rgb="FF000000"/>
      </patternFill>
    </fill>
    <fill>
      <patternFill patternType="solid">
        <fgColor theme="0"/>
      </patternFill>
    </fill>
    <fill>
      <patternFill patternType="solid">
        <fgColor rgb="FFF4B084"/>
        <bgColor indexed="64"/>
      </patternFill>
    </fill>
    <fill>
      <patternFill patternType="solid">
        <fgColor theme="1" tint="4.9989318521683403E-2"/>
        <bgColor indexed="64"/>
      </patternFill>
    </fill>
    <fill>
      <patternFill patternType="solid">
        <fgColor theme="1"/>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rgb="FFECDEF6"/>
        <bgColor indexed="64"/>
      </patternFill>
    </fill>
    <fill>
      <patternFill patternType="solid">
        <fgColor rgb="FFFFE79B"/>
        <bgColor indexed="64"/>
      </patternFill>
    </fill>
    <fill>
      <patternFill patternType="solid">
        <fgColor rgb="FFFFA3A3"/>
        <bgColor indexed="64"/>
      </patternFill>
    </fill>
    <fill>
      <patternFill patternType="solid">
        <fgColor rgb="FFD9D9D9"/>
        <bgColor indexed="64"/>
      </patternFill>
    </fill>
    <fill>
      <patternFill patternType="solid">
        <fgColor rgb="FFE1CCF0"/>
        <bgColor indexed="64"/>
      </patternFill>
    </fill>
  </fills>
  <borders count="6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medium">
        <color indexed="64"/>
      </bottom>
      <diagonal/>
    </border>
    <border>
      <left style="medium">
        <color indexed="64"/>
      </left>
      <right style="thin">
        <color indexed="64"/>
      </right>
      <top style="dotted">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style="medium">
        <color indexed="64"/>
      </bottom>
      <diagonal/>
    </border>
    <border>
      <left style="thin">
        <color indexed="64"/>
      </left>
      <right/>
      <top style="thin">
        <color indexed="64"/>
      </top>
      <bottom style="thin">
        <color indexed="64"/>
      </bottom>
      <diagonal/>
    </border>
    <border>
      <left/>
      <right style="medium">
        <color indexed="64"/>
      </right>
      <top style="medium">
        <color indexed="64"/>
      </top>
      <bottom style="medium">
        <color indexed="64"/>
      </bottom>
      <diagonal/>
    </border>
    <border>
      <left style="medium">
        <color theme="0"/>
      </left>
      <right style="medium">
        <color theme="0"/>
      </right>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dotted">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otted">
        <color indexed="64"/>
      </top>
      <bottom style="dotted">
        <color indexed="64"/>
      </bottom>
      <diagonal/>
    </border>
    <border>
      <left style="medium">
        <color indexed="64"/>
      </left>
      <right style="medium">
        <color indexed="64"/>
      </right>
      <top/>
      <bottom style="dotted">
        <color indexed="64"/>
      </bottom>
      <diagonal/>
    </border>
    <border>
      <left style="medium">
        <color indexed="64"/>
      </left>
      <right style="thin">
        <color indexed="64"/>
      </right>
      <top style="dotted">
        <color indexed="64"/>
      </top>
      <bottom/>
      <diagonal/>
    </border>
    <border>
      <left style="thin">
        <color indexed="64"/>
      </left>
      <right style="medium">
        <color indexed="64"/>
      </right>
      <top style="medium">
        <color indexed="64"/>
      </top>
      <bottom style="dotted">
        <color indexed="64"/>
      </bottom>
      <diagonal/>
    </border>
    <border>
      <left style="medium">
        <color indexed="64"/>
      </left>
      <right/>
      <top style="dotted">
        <color indexed="64"/>
      </top>
      <bottom style="dotted">
        <color indexed="64"/>
      </bottom>
      <diagonal/>
    </border>
    <border>
      <left style="medium">
        <color indexed="64"/>
      </left>
      <right/>
      <top style="dotted">
        <color indexed="64"/>
      </top>
      <bottom style="medium">
        <color indexed="64"/>
      </bottom>
      <diagonal/>
    </border>
    <border>
      <left style="thin">
        <color indexed="64"/>
      </left>
      <right style="thin">
        <color indexed="64"/>
      </right>
      <top style="medium">
        <color indexed="64"/>
      </top>
      <bottom style="dotted">
        <color indexed="64"/>
      </bottom>
      <diagonal/>
    </border>
    <border>
      <left style="medium">
        <color indexed="64"/>
      </left>
      <right style="medium">
        <color indexed="64"/>
      </right>
      <top style="medium">
        <color indexed="64"/>
      </top>
      <bottom style="dotted">
        <color indexed="64"/>
      </bottom>
      <diagonal/>
    </border>
    <border>
      <left style="thin">
        <color indexed="64"/>
      </left>
      <right style="medium">
        <color indexed="64"/>
      </right>
      <top/>
      <bottom style="dotted">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style="thin">
        <color indexed="64"/>
      </right>
      <top style="medium">
        <color indexed="64"/>
      </top>
      <bottom style="dotted">
        <color indexed="64"/>
      </bottom>
      <diagonal/>
    </border>
    <border>
      <left/>
      <right style="thin">
        <color indexed="64"/>
      </right>
      <top/>
      <bottom style="dotted">
        <color indexed="64"/>
      </bottom>
      <diagonal/>
    </border>
    <border>
      <left style="medium">
        <color indexed="64"/>
      </left>
      <right style="thin">
        <color indexed="64"/>
      </right>
      <top style="medium">
        <color indexed="64"/>
      </top>
      <bottom/>
      <diagonal/>
    </border>
    <border>
      <left style="medium">
        <color theme="0"/>
      </left>
      <right style="medium">
        <color theme="0"/>
      </right>
      <top style="medium">
        <color theme="0"/>
      </top>
      <bottom style="medium">
        <color theme="0"/>
      </bottom>
      <diagonal/>
    </border>
    <border>
      <left/>
      <right style="thin">
        <color theme="0" tint="-0.14999847407452621"/>
      </right>
      <top style="thin">
        <color theme="0" tint="-0.14999847407452621"/>
      </top>
      <bottom style="thin">
        <color theme="0" tint="-0.14999847407452621"/>
      </bottom>
      <diagonal/>
    </border>
    <border>
      <left style="medium">
        <color theme="0"/>
      </left>
      <right style="medium">
        <color theme="0"/>
      </right>
      <top style="medium">
        <color theme="0"/>
      </top>
      <bottom/>
      <diagonal/>
    </border>
    <border>
      <left style="medium">
        <color theme="0"/>
      </left>
      <right style="medium">
        <color theme="0"/>
      </right>
      <top/>
      <bottom style="medium">
        <color theme="0"/>
      </bottom>
      <diagonal/>
    </border>
    <border>
      <left/>
      <right style="thin">
        <color theme="0" tint="-0.14999847407452621"/>
      </right>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medium">
        <color indexed="64"/>
      </left>
      <right style="medium">
        <color indexed="64"/>
      </right>
      <top style="dotted">
        <color indexed="64"/>
      </top>
      <bottom style="medium">
        <color indexed="64"/>
      </bottom>
      <diagonal/>
    </border>
    <border>
      <left style="medium">
        <color indexed="64"/>
      </left>
      <right/>
      <top style="medium">
        <color indexed="64"/>
      </top>
      <bottom style="dotted">
        <color indexed="64"/>
      </bottom>
      <diagonal/>
    </border>
    <border>
      <left style="medium">
        <color indexed="64"/>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style="medium">
        <color indexed="64"/>
      </top>
      <bottom/>
      <diagonal/>
    </border>
    <border>
      <left/>
      <right/>
      <top style="medium">
        <color theme="0"/>
      </top>
      <bottom/>
      <diagonal/>
    </border>
  </borders>
  <cellStyleXfs count="12">
    <xf numFmtId="0" fontId="0" fillId="0" borderId="0"/>
    <xf numFmtId="0" fontId="1" fillId="5" borderId="0" applyNumberFormat="0" applyBorder="0" applyAlignment="0" applyProtection="0"/>
    <xf numFmtId="0" fontId="2" fillId="6" borderId="0" applyNumberFormat="0" applyBorder="0" applyAlignment="0" applyProtection="0"/>
    <xf numFmtId="0" fontId="3" fillId="7" borderId="0" applyNumberFormat="0" applyBorder="0" applyAlignment="0" applyProtection="0"/>
    <xf numFmtId="44" fontId="4" fillId="0" borderId="0" applyFont="0" applyFill="0" applyBorder="0" applyAlignment="0" applyProtection="0"/>
    <xf numFmtId="0" fontId="5" fillId="0" borderId="0"/>
    <xf numFmtId="44" fontId="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40" fillId="0" borderId="0"/>
    <xf numFmtId="0" fontId="41" fillId="0" borderId="0"/>
    <xf numFmtId="0" fontId="5" fillId="0" borderId="0"/>
  </cellStyleXfs>
  <cellXfs count="328">
    <xf numFmtId="0" fontId="0" fillId="0" borderId="0" xfId="0"/>
    <xf numFmtId="0" fontId="9" fillId="0" borderId="0" xfId="0" applyFont="1" applyAlignment="1">
      <alignment horizontal="center" vertical="center"/>
    </xf>
    <xf numFmtId="0" fontId="9" fillId="0" borderId="0" xfId="0" applyFont="1"/>
    <xf numFmtId="0" fontId="9" fillId="0" borderId="0" xfId="0" applyFont="1" applyAlignment="1">
      <alignment vertical="center"/>
    </xf>
    <xf numFmtId="0" fontId="9" fillId="0" borderId="0" xfId="0" applyFont="1" applyAlignment="1">
      <alignment horizontal="left" vertical="center"/>
    </xf>
    <xf numFmtId="0" fontId="9" fillId="0" borderId="0" xfId="0" applyFont="1" applyAlignment="1">
      <alignment horizontal="left"/>
    </xf>
    <xf numFmtId="165" fontId="9" fillId="0" borderId="0" xfId="0" applyNumberFormat="1" applyFont="1" applyAlignment="1">
      <alignment vertical="center"/>
    </xf>
    <xf numFmtId="165" fontId="8" fillId="0" borderId="0" xfId="0" applyNumberFormat="1" applyFont="1" applyAlignment="1">
      <alignment vertical="center"/>
    </xf>
    <xf numFmtId="166" fontId="9" fillId="0" borderId="0" xfId="8" applyNumberFormat="1" applyFont="1"/>
    <xf numFmtId="0" fontId="10" fillId="3" borderId="8" xfId="0" applyFont="1" applyFill="1" applyBorder="1" applyAlignment="1">
      <alignment horizontal="center" vertical="center"/>
    </xf>
    <xf numFmtId="165" fontId="10" fillId="3" borderId="7" xfId="4" applyNumberFormat="1" applyFont="1" applyFill="1" applyBorder="1" applyAlignment="1">
      <alignment vertical="center"/>
    </xf>
    <xf numFmtId="165" fontId="10" fillId="3" borderId="15" xfId="4" applyNumberFormat="1" applyFont="1" applyFill="1" applyBorder="1" applyAlignment="1">
      <alignment vertical="center"/>
    </xf>
    <xf numFmtId="0" fontId="9" fillId="0" borderId="2" xfId="0" applyFont="1" applyBorder="1" applyAlignment="1">
      <alignment horizontal="center" vertical="center" wrapText="1"/>
    </xf>
    <xf numFmtId="44" fontId="13" fillId="0" borderId="2" xfId="4" applyFont="1" applyFill="1" applyBorder="1" applyAlignment="1">
      <alignment horizontal="center" vertical="center" wrapText="1"/>
    </xf>
    <xf numFmtId="44" fontId="14" fillId="0" borderId="20" xfId="4" applyFont="1" applyFill="1" applyBorder="1" applyAlignment="1">
      <alignment horizontal="center" vertical="center" wrapText="1"/>
    </xf>
    <xf numFmtId="0" fontId="9" fillId="0" borderId="0" xfId="0" applyFont="1" applyAlignment="1">
      <alignment horizontal="center" vertical="center" wrapText="1"/>
    </xf>
    <xf numFmtId="0" fontId="9" fillId="0" borderId="0" xfId="0" applyFont="1" applyAlignment="1">
      <alignment vertical="center" wrapText="1"/>
    </xf>
    <xf numFmtId="0" fontId="10" fillId="3" borderId="5" xfId="0" applyFont="1" applyFill="1" applyBorder="1" applyAlignment="1">
      <alignment horizontal="left" vertical="center"/>
    </xf>
    <xf numFmtId="0" fontId="10" fillId="3" borderId="5" xfId="0" applyFont="1" applyFill="1" applyBorder="1" applyAlignment="1">
      <alignment horizontal="center" vertical="center"/>
    </xf>
    <xf numFmtId="0" fontId="9" fillId="3" borderId="5" xfId="0" applyFont="1" applyFill="1" applyBorder="1" applyAlignment="1">
      <alignment vertical="center"/>
    </xf>
    <xf numFmtId="0" fontId="9" fillId="0" borderId="28" xfId="0" applyFont="1" applyBorder="1" applyAlignment="1">
      <alignment horizontal="center" vertical="center" wrapText="1"/>
    </xf>
    <xf numFmtId="44" fontId="11" fillId="13" borderId="26" xfId="4" applyFont="1" applyFill="1" applyBorder="1" applyAlignment="1">
      <alignment horizontal="center" vertical="center" wrapText="1"/>
    </xf>
    <xf numFmtId="0" fontId="9" fillId="0" borderId="3" xfId="0" applyFont="1" applyBorder="1" applyAlignment="1">
      <alignment horizontal="center" vertical="center" wrapText="1"/>
    </xf>
    <xf numFmtId="44" fontId="8" fillId="0" borderId="0" xfId="4" applyFont="1" applyFill="1" applyAlignment="1">
      <alignment horizontal="center" vertical="center" wrapText="1"/>
    </xf>
    <xf numFmtId="0" fontId="8" fillId="0" borderId="0" xfId="0" applyFont="1" applyAlignment="1">
      <alignment horizontal="center" vertical="center"/>
    </xf>
    <xf numFmtId="0" fontId="17" fillId="9" borderId="18" xfId="1" applyFont="1" applyFill="1" applyBorder="1" applyAlignment="1">
      <alignment horizontal="center"/>
    </xf>
    <xf numFmtId="165" fontId="10" fillId="3" borderId="6" xfId="4" applyNumberFormat="1" applyFont="1" applyFill="1" applyBorder="1" applyAlignment="1">
      <alignment vertical="center"/>
    </xf>
    <xf numFmtId="165" fontId="10" fillId="3" borderId="19" xfId="4" applyNumberFormat="1" applyFont="1" applyFill="1" applyBorder="1" applyAlignment="1">
      <alignment vertical="center"/>
    </xf>
    <xf numFmtId="165" fontId="10" fillId="3" borderId="5" xfId="4" applyNumberFormat="1" applyFont="1" applyFill="1" applyBorder="1" applyAlignment="1">
      <alignment vertical="center"/>
    </xf>
    <xf numFmtId="44" fontId="13" fillId="0" borderId="32" xfId="4" applyFont="1" applyFill="1" applyBorder="1" applyAlignment="1">
      <alignment horizontal="center" vertical="center" wrapText="1"/>
    </xf>
    <xf numFmtId="0" fontId="9" fillId="0" borderId="32" xfId="0" applyFont="1" applyBorder="1" applyAlignment="1">
      <alignment horizontal="left" vertical="center" wrapText="1"/>
    </xf>
    <xf numFmtId="0" fontId="9" fillId="0" borderId="32" xfId="0" applyFont="1" applyBorder="1" applyAlignment="1">
      <alignment horizontal="center" vertical="center" wrapText="1"/>
    </xf>
    <xf numFmtId="44" fontId="14" fillId="0" borderId="29" xfId="4" applyFont="1" applyFill="1" applyBorder="1" applyAlignment="1">
      <alignment horizontal="center" vertical="center" wrapText="1"/>
    </xf>
    <xf numFmtId="0" fontId="9" fillId="0" borderId="22" xfId="0" applyFont="1" applyBorder="1" applyAlignment="1">
      <alignment horizontal="center" vertical="center" wrapText="1"/>
    </xf>
    <xf numFmtId="0" fontId="9" fillId="0" borderId="22" xfId="0" applyFont="1" applyBorder="1" applyAlignment="1">
      <alignment horizontal="left" vertical="center" wrapText="1"/>
    </xf>
    <xf numFmtId="44" fontId="13" fillId="0" borderId="22" xfId="4" applyFont="1" applyFill="1" applyBorder="1" applyAlignment="1">
      <alignment horizontal="center" vertical="center" wrapText="1"/>
    </xf>
    <xf numFmtId="44" fontId="14" fillId="0" borderId="34" xfId="4" applyFont="1" applyFill="1" applyBorder="1" applyAlignment="1">
      <alignment horizontal="center" vertical="center" wrapText="1"/>
    </xf>
    <xf numFmtId="44" fontId="24" fillId="0" borderId="33" xfId="4" applyFont="1" applyFill="1" applyBorder="1" applyAlignment="1">
      <alignment horizontal="center" vertical="center" wrapText="1"/>
    </xf>
    <xf numFmtId="44" fontId="24" fillId="0" borderId="26" xfId="4" applyFont="1" applyFill="1" applyBorder="1" applyAlignment="1">
      <alignment horizontal="center" vertical="center" wrapText="1"/>
    </xf>
    <xf numFmtId="0" fontId="10" fillId="3" borderId="5" xfId="0" applyFont="1" applyFill="1" applyBorder="1" applyAlignment="1">
      <alignment horizontal="center" vertical="center" wrapText="1"/>
    </xf>
    <xf numFmtId="0" fontId="9" fillId="9" borderId="0" xfId="0" applyFont="1" applyFill="1" applyAlignment="1">
      <alignment vertical="center" wrapText="1"/>
    </xf>
    <xf numFmtId="0" fontId="9" fillId="9" borderId="0" xfId="0" applyFont="1" applyFill="1" applyAlignment="1">
      <alignment horizontal="left" vertical="center" wrapText="1"/>
    </xf>
    <xf numFmtId="0" fontId="8" fillId="9" borderId="0" xfId="0" applyFont="1" applyFill="1" applyAlignment="1">
      <alignment horizontal="center" vertical="center" wrapText="1"/>
    </xf>
    <xf numFmtId="0" fontId="25" fillId="19" borderId="0" xfId="0" applyFont="1" applyFill="1" applyAlignment="1">
      <alignment horizontal="center" vertical="center" wrapText="1"/>
    </xf>
    <xf numFmtId="0" fontId="18" fillId="20" borderId="0" xfId="2" applyFont="1" applyFill="1" applyBorder="1" applyAlignment="1">
      <alignment horizontal="center" vertical="center" wrapText="1"/>
    </xf>
    <xf numFmtId="0" fontId="9" fillId="9" borderId="1" xfId="0" applyFont="1" applyFill="1" applyBorder="1" applyAlignment="1">
      <alignment horizontal="right" vertical="center" wrapText="1"/>
    </xf>
    <xf numFmtId="0" fontId="9" fillId="14" borderId="1" xfId="0" applyFont="1" applyFill="1" applyBorder="1" applyAlignment="1">
      <alignment horizontal="left" vertical="center" wrapText="1"/>
    </xf>
    <xf numFmtId="168" fontId="9" fillId="9" borderId="0" xfId="0" applyNumberFormat="1" applyFont="1" applyFill="1" applyAlignment="1">
      <alignment horizontal="left" vertical="center" wrapText="1"/>
    </xf>
    <xf numFmtId="0" fontId="12" fillId="9" borderId="1" xfId="0" applyFont="1" applyFill="1" applyBorder="1" applyAlignment="1">
      <alignment horizontal="right" vertical="center" wrapText="1"/>
    </xf>
    <xf numFmtId="3" fontId="9" fillId="14" borderId="1" xfId="0" applyNumberFormat="1" applyFont="1" applyFill="1" applyBorder="1" applyAlignment="1">
      <alignment horizontal="left" vertical="center" wrapText="1"/>
    </xf>
    <xf numFmtId="3" fontId="9" fillId="9" borderId="0" xfId="0" applyNumberFormat="1" applyFont="1" applyFill="1" applyAlignment="1">
      <alignment horizontal="left" vertical="center" wrapText="1"/>
    </xf>
    <xf numFmtId="4" fontId="9" fillId="14" borderId="1" xfId="0" applyNumberFormat="1" applyFont="1" applyFill="1" applyBorder="1" applyAlignment="1">
      <alignment horizontal="left" vertical="center" wrapText="1"/>
    </xf>
    <xf numFmtId="4" fontId="9" fillId="9" borderId="0" xfId="0" applyNumberFormat="1" applyFont="1" applyFill="1" applyAlignment="1">
      <alignment horizontal="left" vertical="center" wrapText="1"/>
    </xf>
    <xf numFmtId="0" fontId="12" fillId="9" borderId="0" xfId="0" applyFont="1" applyFill="1" applyAlignment="1">
      <alignment vertical="center" wrapText="1"/>
    </xf>
    <xf numFmtId="0" fontId="9" fillId="9" borderId="35" xfId="0" applyFont="1" applyFill="1" applyBorder="1" applyAlignment="1">
      <alignment vertical="center" wrapText="1"/>
    </xf>
    <xf numFmtId="171" fontId="15" fillId="9" borderId="1" xfId="0" applyNumberFormat="1" applyFont="1" applyFill="1" applyBorder="1" applyAlignment="1">
      <alignment horizontal="right" vertical="center" wrapText="1"/>
    </xf>
    <xf numFmtId="0" fontId="20" fillId="0" borderId="0" xfId="0" applyFont="1" applyAlignment="1">
      <alignment vertical="center" wrapText="1"/>
    </xf>
    <xf numFmtId="44" fontId="16" fillId="0" borderId="36" xfId="4" applyFont="1" applyFill="1" applyBorder="1" applyAlignment="1">
      <alignment horizontal="center" vertical="center" wrapText="1"/>
    </xf>
    <xf numFmtId="44" fontId="16" fillId="0" borderId="37" xfId="4" applyFont="1" applyFill="1" applyBorder="1" applyAlignment="1">
      <alignment horizontal="center" vertical="center" wrapText="1"/>
    </xf>
    <xf numFmtId="0" fontId="9" fillId="0" borderId="29" xfId="0" applyFont="1" applyBorder="1" applyAlignment="1">
      <alignment horizontal="left" vertical="center" wrapText="1"/>
    </xf>
    <xf numFmtId="0" fontId="9" fillId="0" borderId="34" xfId="0" applyFont="1" applyBorder="1" applyAlignment="1">
      <alignment horizontal="left" vertical="center" wrapText="1"/>
    </xf>
    <xf numFmtId="0" fontId="9" fillId="0" borderId="20" xfId="0" applyFont="1" applyBorder="1" applyAlignment="1">
      <alignment horizontal="left" vertical="center" wrapText="1"/>
    </xf>
    <xf numFmtId="0" fontId="9" fillId="0" borderId="38" xfId="0" applyFont="1" applyBorder="1" applyAlignment="1">
      <alignment horizontal="center" vertical="center" wrapText="1"/>
    </xf>
    <xf numFmtId="0" fontId="10" fillId="3" borderId="19" xfId="0" applyFont="1" applyFill="1" applyBorder="1" applyAlignment="1">
      <alignment horizontal="center" vertical="center"/>
    </xf>
    <xf numFmtId="0" fontId="9" fillId="9" borderId="1" xfId="0" applyFont="1" applyFill="1" applyBorder="1" applyAlignment="1">
      <alignment horizontal="left" vertical="center" wrapText="1"/>
    </xf>
    <xf numFmtId="10" fontId="26" fillId="14" borderId="1" xfId="8" applyNumberFormat="1" applyFont="1" applyFill="1" applyBorder="1" applyAlignment="1">
      <alignment horizontal="center" vertical="center"/>
    </xf>
    <xf numFmtId="10" fontId="11" fillId="9" borderId="1" xfId="0" applyNumberFormat="1" applyFont="1" applyFill="1" applyBorder="1" applyAlignment="1">
      <alignment horizontal="center" vertical="center"/>
    </xf>
    <xf numFmtId="0" fontId="12" fillId="9" borderId="0" xfId="0" applyFont="1" applyFill="1" applyAlignment="1">
      <alignment horizontal="right" vertical="center" wrapText="1"/>
    </xf>
    <xf numFmtId="0" fontId="9" fillId="9" borderId="40" xfId="0" applyFont="1" applyFill="1" applyBorder="1" applyAlignment="1">
      <alignment vertical="center" wrapText="1"/>
    </xf>
    <xf numFmtId="0" fontId="9" fillId="9" borderId="43" xfId="0" applyFont="1" applyFill="1" applyBorder="1" applyAlignment="1">
      <alignment vertical="center" wrapText="1"/>
    </xf>
    <xf numFmtId="0" fontId="25" fillId="16" borderId="39" xfId="0" applyFont="1" applyFill="1" applyBorder="1" applyAlignment="1">
      <alignment horizontal="center" vertical="center" wrapText="1"/>
    </xf>
    <xf numFmtId="0" fontId="9" fillId="9" borderId="44" xfId="0" applyFont="1" applyFill="1" applyBorder="1" applyAlignment="1">
      <alignment vertical="center" wrapText="1"/>
    </xf>
    <xf numFmtId="0" fontId="20" fillId="9" borderId="0" xfId="0" applyFont="1" applyFill="1" applyAlignment="1">
      <alignment vertical="center" wrapText="1"/>
    </xf>
    <xf numFmtId="0" fontId="25" fillId="17" borderId="39" xfId="0" applyFont="1" applyFill="1" applyBorder="1" applyAlignment="1">
      <alignment horizontal="center" vertical="center" wrapText="1"/>
    </xf>
    <xf numFmtId="4" fontId="25" fillId="16" borderId="39" xfId="0" applyNumberFormat="1" applyFont="1" applyFill="1" applyBorder="1" applyAlignment="1">
      <alignment horizontal="center" vertical="center" wrapText="1"/>
    </xf>
    <xf numFmtId="0" fontId="21" fillId="18" borderId="4" xfId="0" applyFont="1" applyFill="1" applyBorder="1" applyAlignment="1">
      <alignment vertical="center"/>
    </xf>
    <xf numFmtId="0" fontId="21" fillId="18" borderId="5" xfId="0" applyFont="1" applyFill="1" applyBorder="1" applyAlignment="1">
      <alignment vertical="center"/>
    </xf>
    <xf numFmtId="0" fontId="21" fillId="18" borderId="17" xfId="0" applyFont="1" applyFill="1" applyBorder="1" applyAlignment="1">
      <alignment vertical="center"/>
    </xf>
    <xf numFmtId="0" fontId="27" fillId="0" borderId="0" xfId="0" applyFont="1"/>
    <xf numFmtId="0" fontId="8" fillId="10" borderId="0" xfId="0" applyFont="1" applyFill="1" applyAlignment="1">
      <alignment horizontal="center" vertical="center"/>
    </xf>
    <xf numFmtId="0" fontId="8" fillId="10" borderId="0" xfId="0" applyFont="1" applyFill="1" applyAlignment="1">
      <alignment vertical="center" wrapText="1"/>
    </xf>
    <xf numFmtId="165" fontId="9" fillId="10" borderId="0" xfId="0" applyNumberFormat="1" applyFont="1" applyFill="1" applyAlignment="1">
      <alignment vertical="center"/>
    </xf>
    <xf numFmtId="0" fontId="22" fillId="10" borderId="0" xfId="0" applyFont="1" applyFill="1" applyAlignment="1">
      <alignment vertical="center"/>
    </xf>
    <xf numFmtId="0" fontId="9" fillId="10" borderId="0" xfId="0" applyFont="1" applyFill="1" applyAlignment="1">
      <alignment horizontal="center" vertical="center"/>
    </xf>
    <xf numFmtId="165" fontId="9" fillId="10" borderId="0" xfId="0" applyNumberFormat="1" applyFont="1" applyFill="1" applyAlignment="1">
      <alignment horizontal="right" vertical="center"/>
    </xf>
    <xf numFmtId="165" fontId="9" fillId="0" borderId="0" xfId="0" applyNumberFormat="1" applyFont="1" applyAlignment="1">
      <alignment horizontal="left" vertical="center"/>
    </xf>
    <xf numFmtId="165" fontId="8" fillId="0" borderId="0" xfId="0" applyNumberFormat="1" applyFont="1" applyAlignment="1">
      <alignment horizontal="left" vertical="center"/>
    </xf>
    <xf numFmtId="173" fontId="9" fillId="0" borderId="37" xfId="0" applyNumberFormat="1" applyFont="1" applyBorder="1" applyAlignment="1">
      <alignment horizontal="center" vertical="center" wrapText="1"/>
    </xf>
    <xf numFmtId="173" fontId="9" fillId="0" borderId="21" xfId="0" applyNumberFormat="1" applyFont="1" applyBorder="1" applyAlignment="1">
      <alignment horizontal="center" vertical="center" wrapText="1"/>
    </xf>
    <xf numFmtId="0" fontId="10" fillId="4" borderId="4" xfId="0" applyFont="1" applyFill="1" applyBorder="1" applyAlignment="1">
      <alignment horizontal="centerContinuous" vertical="center" wrapText="1"/>
    </xf>
    <xf numFmtId="0" fontId="10" fillId="4" borderId="8" xfId="0" applyFont="1" applyFill="1" applyBorder="1" applyAlignment="1">
      <alignment horizontal="center" vertical="center" wrapText="1"/>
    </xf>
    <xf numFmtId="0" fontId="10" fillId="2" borderId="8" xfId="0" applyFont="1" applyFill="1" applyBorder="1" applyAlignment="1">
      <alignment horizontal="center" vertical="center"/>
    </xf>
    <xf numFmtId="0" fontId="10" fillId="4" borderId="19" xfId="0" applyFont="1" applyFill="1" applyBorder="1" applyAlignment="1">
      <alignment horizontal="center" vertical="center"/>
    </xf>
    <xf numFmtId="0" fontId="29" fillId="23" borderId="0" xfId="0" applyFont="1" applyFill="1" applyAlignment="1">
      <alignment horizontal="left" vertical="center" wrapText="1"/>
    </xf>
    <xf numFmtId="0" fontId="29" fillId="22" borderId="16" xfId="0" applyFont="1" applyFill="1" applyBorder="1" applyAlignment="1">
      <alignment horizontal="center" vertical="center" wrapText="1"/>
    </xf>
    <xf numFmtId="0" fontId="28" fillId="9" borderId="1" xfId="0" applyFont="1" applyFill="1" applyBorder="1" applyAlignment="1">
      <alignment horizontal="center" vertical="center" wrapText="1"/>
    </xf>
    <xf numFmtId="173" fontId="9" fillId="0" borderId="36" xfId="0" applyNumberFormat="1" applyFont="1" applyBorder="1" applyAlignment="1">
      <alignment horizontal="center" vertical="center" wrapText="1"/>
    </xf>
    <xf numFmtId="0" fontId="19" fillId="14" borderId="7" xfId="0" applyFont="1" applyFill="1" applyBorder="1" applyAlignment="1">
      <alignment horizontal="center" vertical="center" wrapText="1"/>
    </xf>
    <xf numFmtId="0" fontId="19" fillId="14" borderId="8" xfId="0" applyFont="1" applyFill="1" applyBorder="1" applyAlignment="1">
      <alignment horizontal="center" vertical="center" wrapText="1"/>
    </xf>
    <xf numFmtId="0" fontId="28" fillId="23" borderId="0" xfId="0" applyFont="1" applyFill="1" applyAlignment="1">
      <alignment horizontal="left" vertical="center" wrapText="1"/>
    </xf>
    <xf numFmtId="0" fontId="28" fillId="0" borderId="0" xfId="0" applyFont="1" applyAlignment="1">
      <alignment horizontal="center" vertical="center" wrapText="1"/>
    </xf>
    <xf numFmtId="0" fontId="31" fillId="23" borderId="0" xfId="0" applyFont="1" applyFill="1" applyAlignment="1">
      <alignment horizontal="left" vertical="center" wrapText="1"/>
    </xf>
    <xf numFmtId="172" fontId="30" fillId="8" borderId="1" xfId="0" applyNumberFormat="1" applyFont="1" applyFill="1" applyBorder="1" applyAlignment="1">
      <alignment horizontal="center" vertical="center" wrapText="1"/>
    </xf>
    <xf numFmtId="172" fontId="30" fillId="14" borderId="1" xfId="0" applyNumberFormat="1" applyFont="1" applyFill="1" applyBorder="1" applyAlignment="1">
      <alignment horizontal="center" vertical="center" wrapText="1"/>
    </xf>
    <xf numFmtId="172" fontId="30" fillId="27" borderId="16" xfId="0" applyNumberFormat="1" applyFont="1" applyFill="1" applyBorder="1" applyAlignment="1">
      <alignment horizontal="center" vertical="center" wrapText="1"/>
    </xf>
    <xf numFmtId="172" fontId="30" fillId="26" borderId="1" xfId="0" applyNumberFormat="1" applyFont="1" applyFill="1" applyBorder="1" applyAlignment="1">
      <alignment horizontal="center" vertical="center" wrapText="1"/>
    </xf>
    <xf numFmtId="172" fontId="30" fillId="25" borderId="1" xfId="0" applyNumberFormat="1" applyFont="1" applyFill="1" applyBorder="1" applyAlignment="1">
      <alignment horizontal="center" vertical="center" wrapText="1"/>
    </xf>
    <xf numFmtId="172" fontId="30" fillId="24" borderId="1" xfId="0" applyNumberFormat="1" applyFont="1" applyFill="1" applyBorder="1" applyAlignment="1">
      <alignment horizontal="center" vertical="center" wrapText="1"/>
    </xf>
    <xf numFmtId="0" fontId="28" fillId="0" borderId="9" xfId="0" applyFont="1" applyBorder="1" applyAlignment="1">
      <alignment horizontal="center" vertical="center" wrapText="1"/>
    </xf>
    <xf numFmtId="0" fontId="28" fillId="12" borderId="1" xfId="0" applyFont="1" applyFill="1" applyBorder="1" applyAlignment="1">
      <alignment horizontal="left" vertical="center" wrapText="1"/>
    </xf>
    <xf numFmtId="0" fontId="30" fillId="0" borderId="1" xfId="0" applyFont="1" applyBorder="1" applyAlignment="1">
      <alignment horizontal="left" vertical="center" wrapText="1"/>
    </xf>
    <xf numFmtId="0" fontId="28" fillId="0" borderId="1" xfId="0" applyFont="1" applyBorder="1" applyAlignment="1">
      <alignment horizontal="left" vertical="center" wrapText="1"/>
    </xf>
    <xf numFmtId="0" fontId="28" fillId="0" borderId="16" xfId="0" applyFont="1" applyBorder="1" applyAlignment="1">
      <alignment horizontal="center" vertical="center" wrapText="1"/>
    </xf>
    <xf numFmtId="0" fontId="28" fillId="0" borderId="1" xfId="0" applyFont="1" applyBorder="1" applyAlignment="1">
      <alignment horizontal="center" vertical="center" wrapText="1"/>
    </xf>
    <xf numFmtId="0" fontId="28" fillId="12" borderId="16" xfId="0" applyFont="1" applyFill="1" applyBorder="1" applyAlignment="1">
      <alignment horizontal="left" vertical="center" wrapText="1"/>
    </xf>
    <xf numFmtId="0" fontId="28" fillId="0" borderId="0" xfId="0" applyFont="1" applyAlignment="1">
      <alignment horizontal="left" vertical="center" wrapText="1"/>
    </xf>
    <xf numFmtId="0" fontId="28" fillId="12" borderId="1" xfId="0" applyFont="1" applyFill="1" applyBorder="1" applyAlignment="1">
      <alignment horizontal="center" vertical="center" wrapText="1"/>
    </xf>
    <xf numFmtId="44" fontId="11" fillId="13" borderId="33" xfId="4" applyFont="1" applyFill="1" applyBorder="1" applyAlignment="1">
      <alignment horizontal="center" vertical="center" wrapText="1"/>
    </xf>
    <xf numFmtId="0" fontId="9" fillId="0" borderId="2" xfId="0" applyFont="1" applyBorder="1" applyAlignment="1">
      <alignment horizontal="left" vertical="center" wrapText="1"/>
    </xf>
    <xf numFmtId="44" fontId="16" fillId="0" borderId="21" xfId="4" applyFont="1" applyFill="1" applyBorder="1" applyAlignment="1">
      <alignment horizontal="center" vertical="center" wrapText="1"/>
    </xf>
    <xf numFmtId="44" fontId="24" fillId="0" borderId="45" xfId="4" applyFont="1" applyFill="1" applyBorder="1" applyAlignment="1">
      <alignment horizontal="center" vertical="center" wrapText="1"/>
    </xf>
    <xf numFmtId="44" fontId="11" fillId="13" borderId="45" xfId="4" applyFont="1" applyFill="1" applyBorder="1" applyAlignment="1">
      <alignment horizontal="center" vertical="center" wrapText="1"/>
    </xf>
    <xf numFmtId="0" fontId="10" fillId="3" borderId="6" xfId="0" applyFont="1" applyFill="1" applyBorder="1" applyAlignment="1">
      <alignment horizontal="left" vertical="center"/>
    </xf>
    <xf numFmtId="0" fontId="10" fillId="3" borderId="15" xfId="0" applyFont="1" applyFill="1" applyBorder="1" applyAlignment="1">
      <alignment horizontal="center" vertical="center"/>
    </xf>
    <xf numFmtId="0" fontId="10" fillId="3" borderId="7" xfId="0" applyFont="1" applyFill="1" applyBorder="1" applyAlignment="1">
      <alignment horizontal="center" vertical="center"/>
    </xf>
    <xf numFmtId="0" fontId="10" fillId="3" borderId="8" xfId="0" applyFont="1" applyFill="1" applyBorder="1" applyAlignment="1">
      <alignment vertical="center"/>
    </xf>
    <xf numFmtId="0" fontId="9" fillId="0" borderId="0" xfId="0" applyFont="1" applyAlignment="1">
      <alignment wrapText="1"/>
    </xf>
    <xf numFmtId="0" fontId="21" fillId="18" borderId="5" xfId="0" applyFont="1" applyFill="1" applyBorder="1" applyAlignment="1">
      <alignment vertical="center" wrapText="1"/>
    </xf>
    <xf numFmtId="0" fontId="10" fillId="3" borderId="15" xfId="0" applyFont="1" applyFill="1" applyBorder="1" applyAlignment="1">
      <alignment horizontal="center" vertical="center" wrapText="1"/>
    </xf>
    <xf numFmtId="0" fontId="10" fillId="3" borderId="4" xfId="0" applyFont="1" applyFill="1" applyBorder="1" applyAlignment="1">
      <alignment horizontal="left" vertical="center"/>
    </xf>
    <xf numFmtId="0" fontId="9" fillId="14" borderId="1" xfId="0" applyFont="1" applyFill="1" applyBorder="1" applyAlignment="1">
      <alignment horizontal="center" vertical="center" wrapText="1"/>
    </xf>
    <xf numFmtId="44" fontId="9" fillId="14" borderId="10" xfId="4" applyFont="1" applyFill="1" applyBorder="1" applyAlignment="1">
      <alignment horizontal="center" vertical="center" wrapText="1"/>
    </xf>
    <xf numFmtId="44" fontId="8" fillId="14" borderId="13" xfId="4" applyFont="1" applyFill="1" applyBorder="1" applyAlignment="1">
      <alignment horizontal="center" vertical="center" wrapText="1"/>
    </xf>
    <xf numFmtId="44" fontId="8" fillId="14" borderId="14" xfId="4" applyFont="1" applyFill="1" applyBorder="1" applyAlignment="1">
      <alignment horizontal="center" vertical="center" wrapText="1"/>
    </xf>
    <xf numFmtId="44" fontId="8" fillId="14" borderId="24" xfId="4" applyFont="1" applyFill="1" applyBorder="1" applyAlignment="1">
      <alignment horizontal="center" vertical="center" wrapText="1"/>
    </xf>
    <xf numFmtId="0" fontId="9" fillId="14" borderId="11" xfId="0" applyFont="1" applyFill="1" applyBorder="1" applyAlignment="1">
      <alignment horizontal="center" vertical="center" wrapText="1"/>
    </xf>
    <xf numFmtId="44" fontId="9" fillId="14" borderId="12" xfId="4" applyFont="1" applyFill="1" applyBorder="1" applyAlignment="1">
      <alignment horizontal="center" vertical="center" wrapText="1"/>
    </xf>
    <xf numFmtId="0" fontId="11" fillId="11" borderId="23" xfId="1" applyFont="1" applyFill="1" applyBorder="1" applyAlignment="1">
      <alignment horizontal="center" vertical="center" wrapText="1"/>
    </xf>
    <xf numFmtId="44" fontId="11" fillId="13" borderId="46" xfId="4" applyFont="1" applyFill="1" applyBorder="1" applyAlignment="1">
      <alignment horizontal="center" vertical="center" wrapText="1"/>
    </xf>
    <xf numFmtId="44" fontId="11" fillId="13" borderId="30" xfId="4" applyFont="1" applyFill="1" applyBorder="1" applyAlignment="1">
      <alignment horizontal="center" vertical="center" wrapText="1"/>
    </xf>
    <xf numFmtId="44" fontId="11" fillId="13" borderId="31" xfId="4" applyFont="1" applyFill="1" applyBorder="1" applyAlignment="1">
      <alignment horizontal="center" vertical="center" wrapText="1"/>
    </xf>
    <xf numFmtId="165" fontId="11" fillId="3" borderId="23" xfId="4" applyNumberFormat="1" applyFont="1" applyFill="1" applyBorder="1" applyAlignment="1">
      <alignment vertical="center"/>
    </xf>
    <xf numFmtId="44" fontId="12" fillId="13" borderId="33" xfId="4" applyFont="1" applyFill="1" applyBorder="1" applyAlignment="1">
      <alignment horizontal="center" vertical="center" wrapText="1"/>
    </xf>
    <xf numFmtId="44" fontId="12" fillId="13" borderId="26" xfId="4" applyFont="1" applyFill="1" applyBorder="1" applyAlignment="1">
      <alignment horizontal="center" vertical="center" wrapText="1"/>
    </xf>
    <xf numFmtId="44" fontId="12" fillId="13" borderId="47" xfId="4" applyFont="1" applyFill="1" applyBorder="1" applyAlignment="1">
      <alignment horizontal="center" vertical="center" wrapText="1"/>
    </xf>
    <xf numFmtId="44" fontId="12" fillId="13" borderId="45" xfId="4" applyFont="1" applyFill="1" applyBorder="1" applyAlignment="1">
      <alignment horizontal="center" vertical="center" wrapText="1"/>
    </xf>
    <xf numFmtId="165" fontId="11" fillId="3" borderId="17" xfId="4" applyNumberFormat="1" applyFont="1" applyFill="1" applyBorder="1" applyAlignment="1">
      <alignment vertical="center"/>
    </xf>
    <xf numFmtId="165" fontId="10" fillId="3" borderId="17" xfId="4" applyNumberFormat="1" applyFont="1" applyFill="1" applyBorder="1" applyAlignment="1">
      <alignment vertical="center"/>
    </xf>
    <xf numFmtId="0" fontId="10" fillId="4" borderId="23" xfId="1" applyFont="1" applyFill="1" applyBorder="1" applyAlignment="1">
      <alignment horizontal="center" vertical="center" wrapText="1"/>
    </xf>
    <xf numFmtId="165" fontId="21" fillId="18" borderId="5" xfId="0" applyNumberFormat="1" applyFont="1" applyFill="1" applyBorder="1" applyAlignment="1">
      <alignment vertical="center"/>
    </xf>
    <xf numFmtId="0" fontId="0" fillId="0" borderId="0" xfId="0" applyAlignment="1">
      <alignment horizontal="center"/>
    </xf>
    <xf numFmtId="0" fontId="0" fillId="0" borderId="0" xfId="0" applyAlignment="1">
      <alignment vertical="center" wrapText="1"/>
    </xf>
    <xf numFmtId="0" fontId="31" fillId="23" borderId="0" xfId="0" applyFont="1" applyFill="1" applyAlignment="1">
      <alignment horizontal="center" vertical="center" wrapText="1"/>
    </xf>
    <xf numFmtId="172" fontId="30" fillId="26" borderId="1" xfId="0" applyNumberFormat="1" applyFont="1" applyFill="1" applyBorder="1" applyAlignment="1">
      <alignment horizontal="left" vertical="center" wrapText="1"/>
    </xf>
    <xf numFmtId="172" fontId="30" fillId="25" borderId="1" xfId="0" applyNumberFormat="1" applyFont="1" applyFill="1" applyBorder="1" applyAlignment="1">
      <alignment horizontal="left" vertical="center" wrapText="1"/>
    </xf>
    <xf numFmtId="0" fontId="9" fillId="12" borderId="4" xfId="0" applyFont="1" applyFill="1" applyBorder="1" applyAlignment="1">
      <alignment horizontal="center" vertical="center"/>
    </xf>
    <xf numFmtId="0" fontId="9" fillId="12" borderId="5" xfId="0" applyFont="1" applyFill="1" applyBorder="1" applyAlignment="1">
      <alignment horizontal="center" vertical="center"/>
    </xf>
    <xf numFmtId="0" fontId="9" fillId="12" borderId="5" xfId="0" applyFont="1" applyFill="1" applyBorder="1" applyAlignment="1">
      <alignment horizontal="center" vertical="center" wrapText="1"/>
    </xf>
    <xf numFmtId="0" fontId="9" fillId="12" borderId="5" xfId="0" applyFont="1" applyFill="1" applyBorder="1" applyAlignment="1">
      <alignment vertical="center"/>
    </xf>
    <xf numFmtId="0" fontId="9" fillId="12" borderId="5" xfId="0" applyFont="1" applyFill="1" applyBorder="1"/>
    <xf numFmtId="167" fontId="8" fillId="12" borderId="5" xfId="4" applyNumberFormat="1" applyFont="1" applyFill="1" applyBorder="1" applyAlignment="1">
      <alignment vertical="center"/>
    </xf>
    <xf numFmtId="165" fontId="9" fillId="12" borderId="5" xfId="0" applyNumberFormat="1" applyFont="1" applyFill="1" applyBorder="1" applyAlignment="1">
      <alignment vertical="center"/>
    </xf>
    <xf numFmtId="167" fontId="8" fillId="12" borderId="17" xfId="4" applyNumberFormat="1" applyFont="1" applyFill="1" applyBorder="1" applyAlignment="1">
      <alignment horizontal="center" vertical="center"/>
    </xf>
    <xf numFmtId="44" fontId="34" fillId="0" borderId="33" xfId="4" applyFont="1" applyFill="1" applyBorder="1" applyAlignment="1">
      <alignment horizontal="center" vertical="center" wrapText="1"/>
    </xf>
    <xf numFmtId="44" fontId="34" fillId="0" borderId="26" xfId="4" applyFont="1" applyFill="1" applyBorder="1" applyAlignment="1">
      <alignment horizontal="center" vertical="center" wrapText="1"/>
    </xf>
    <xf numFmtId="44" fontId="34" fillId="0" borderId="45" xfId="4" applyFont="1" applyFill="1" applyBorder="1" applyAlignment="1">
      <alignment horizontal="center" vertical="center" wrapText="1"/>
    </xf>
    <xf numFmtId="44" fontId="35" fillId="0" borderId="29" xfId="4" applyFont="1" applyFill="1" applyBorder="1" applyAlignment="1">
      <alignment horizontal="center" vertical="center" wrapText="1"/>
    </xf>
    <xf numFmtId="44" fontId="35" fillId="0" borderId="34" xfId="4" applyFont="1" applyFill="1" applyBorder="1" applyAlignment="1">
      <alignment horizontal="center" vertical="center" wrapText="1"/>
    </xf>
    <xf numFmtId="44" fontId="35" fillId="0" borderId="20" xfId="4" applyFont="1" applyFill="1" applyBorder="1" applyAlignment="1">
      <alignment horizontal="center" vertical="center" wrapText="1"/>
    </xf>
    <xf numFmtId="4" fontId="37" fillId="27" borderId="15" xfId="3" applyNumberFormat="1" applyFont="1" applyFill="1" applyBorder="1" applyAlignment="1">
      <alignment horizontal="center" vertical="center" wrapText="1"/>
    </xf>
    <xf numFmtId="44" fontId="36" fillId="0" borderId="32" xfId="4" applyFont="1" applyFill="1" applyBorder="1" applyAlignment="1">
      <alignment horizontal="center" vertical="center" wrapText="1"/>
    </xf>
    <xf numFmtId="44" fontId="36" fillId="0" borderId="22" xfId="4" applyFont="1" applyFill="1" applyBorder="1" applyAlignment="1">
      <alignment horizontal="center" vertical="center" wrapText="1"/>
    </xf>
    <xf numFmtId="44" fontId="36" fillId="0" borderId="2" xfId="4" applyFont="1" applyFill="1" applyBorder="1" applyAlignment="1">
      <alignment horizontal="center" vertical="center" wrapText="1"/>
    </xf>
    <xf numFmtId="44" fontId="14" fillId="0" borderId="36" xfId="4" applyFont="1" applyFill="1" applyBorder="1" applyAlignment="1">
      <alignment horizontal="center" vertical="center" wrapText="1"/>
    </xf>
    <xf numFmtId="44" fontId="14" fillId="0" borderId="37" xfId="4" applyFont="1" applyFill="1" applyBorder="1" applyAlignment="1">
      <alignment horizontal="center" vertical="center" wrapText="1"/>
    </xf>
    <xf numFmtId="44" fontId="14" fillId="0" borderId="21" xfId="4" applyFont="1" applyFill="1" applyBorder="1" applyAlignment="1">
      <alignment horizontal="center" vertical="center" wrapText="1"/>
    </xf>
    <xf numFmtId="0" fontId="21" fillId="18" borderId="5" xfId="0" applyFont="1" applyFill="1" applyBorder="1" applyAlignment="1">
      <alignment horizontal="center" vertical="center"/>
    </xf>
    <xf numFmtId="0" fontId="10" fillId="3" borderId="6" xfId="0" applyFont="1" applyFill="1" applyBorder="1" applyAlignment="1">
      <alignment horizontal="center" vertical="center"/>
    </xf>
    <xf numFmtId="164" fontId="10" fillId="3" borderId="15" xfId="4" applyNumberFormat="1" applyFont="1" applyFill="1" applyBorder="1" applyAlignment="1">
      <alignment horizontal="center" vertical="center"/>
    </xf>
    <xf numFmtId="0" fontId="8" fillId="0" borderId="0" xfId="0" applyFont="1" applyAlignment="1">
      <alignment horizontal="center"/>
    </xf>
    <xf numFmtId="0" fontId="8" fillId="0" borderId="22" xfId="2" applyFont="1" applyFill="1" applyBorder="1" applyAlignment="1">
      <alignment horizontal="center" vertical="center" wrapText="1"/>
    </xf>
    <xf numFmtId="0" fontId="8" fillId="0" borderId="2" xfId="2" applyFont="1" applyFill="1" applyBorder="1" applyAlignment="1">
      <alignment horizontal="center" vertical="center" wrapText="1"/>
    </xf>
    <xf numFmtId="0" fontId="8" fillId="0" borderId="32" xfId="2" applyFont="1" applyFill="1" applyBorder="1" applyAlignment="1">
      <alignment horizontal="center" vertical="center" wrapText="1"/>
    </xf>
    <xf numFmtId="0" fontId="8" fillId="0" borderId="0" xfId="0" applyFont="1" applyAlignment="1">
      <alignment horizontal="center" vertical="center" wrapText="1"/>
    </xf>
    <xf numFmtId="0" fontId="8" fillId="12" borderId="5" xfId="0" applyFont="1" applyFill="1" applyBorder="1" applyAlignment="1">
      <alignment horizontal="center" vertical="center"/>
    </xf>
    <xf numFmtId="4" fontId="10" fillId="28" borderId="8" xfId="1" applyNumberFormat="1" applyFont="1" applyFill="1" applyBorder="1" applyAlignment="1">
      <alignment horizontal="center" vertical="center" wrapText="1"/>
    </xf>
    <xf numFmtId="0" fontId="32" fillId="22" borderId="4" xfId="0" applyFont="1" applyFill="1" applyBorder="1" applyAlignment="1">
      <alignment vertical="center"/>
    </xf>
    <xf numFmtId="0" fontId="32" fillId="22" borderId="5" xfId="0" applyFont="1" applyFill="1" applyBorder="1" applyAlignment="1">
      <alignment vertical="center"/>
    </xf>
    <xf numFmtId="0" fontId="33" fillId="22" borderId="5" xfId="0" applyFont="1" applyFill="1" applyBorder="1"/>
    <xf numFmtId="0" fontId="32" fillId="22" borderId="5" xfId="0" applyFont="1" applyFill="1" applyBorder="1" applyAlignment="1">
      <alignment horizontal="center" vertical="center"/>
    </xf>
    <xf numFmtId="165" fontId="32" fillId="22" borderId="5" xfId="0" applyNumberFormat="1" applyFont="1" applyFill="1" applyBorder="1" applyAlignment="1">
      <alignment vertical="center"/>
    </xf>
    <xf numFmtId="0" fontId="32" fillId="22" borderId="17" xfId="0" applyFont="1" applyFill="1" applyBorder="1" applyAlignment="1">
      <alignment vertical="center"/>
    </xf>
    <xf numFmtId="0" fontId="11" fillId="29" borderId="23" xfId="1" applyFont="1" applyFill="1" applyBorder="1" applyAlignment="1">
      <alignment horizontal="center" vertical="center" wrapText="1"/>
    </xf>
    <xf numFmtId="4" fontId="10" fillId="24" borderId="7" xfId="1" applyNumberFormat="1" applyFont="1" applyFill="1" applyBorder="1" applyAlignment="1">
      <alignment horizontal="center" vertical="center" wrapText="1"/>
    </xf>
    <xf numFmtId="0" fontId="9" fillId="10" borderId="36" xfId="0" applyFont="1" applyFill="1" applyBorder="1" applyAlignment="1">
      <alignment horizontal="center" vertical="center" wrapText="1"/>
    </xf>
    <xf numFmtId="0" fontId="9" fillId="10" borderId="37" xfId="0" applyFont="1" applyFill="1" applyBorder="1" applyAlignment="1">
      <alignment horizontal="center" vertical="center" wrapText="1"/>
    </xf>
    <xf numFmtId="0" fontId="9" fillId="10" borderId="21" xfId="0" applyFont="1" applyFill="1" applyBorder="1" applyAlignment="1">
      <alignment horizontal="center" vertical="center" wrapText="1"/>
    </xf>
    <xf numFmtId="44" fontId="38" fillId="0" borderId="33" xfId="4" applyFont="1" applyFill="1" applyBorder="1" applyAlignment="1">
      <alignment horizontal="center" vertical="center" wrapText="1"/>
    </xf>
    <xf numFmtId="44" fontId="38" fillId="0" borderId="27" xfId="4" applyFont="1" applyFill="1" applyBorder="1" applyAlignment="1">
      <alignment horizontal="center" vertical="center" wrapText="1"/>
    </xf>
    <xf numFmtId="44" fontId="38" fillId="0" borderId="26" xfId="4" applyFont="1" applyFill="1" applyBorder="1" applyAlignment="1">
      <alignment horizontal="center" vertical="center" wrapText="1"/>
    </xf>
    <xf numFmtId="44" fontId="38" fillId="0" borderId="25" xfId="4" applyFont="1" applyFill="1" applyBorder="1" applyAlignment="1">
      <alignment horizontal="center" vertical="center" wrapText="1"/>
    </xf>
    <xf numFmtId="0" fontId="39" fillId="25" borderId="23" xfId="1" applyFont="1" applyFill="1" applyBorder="1" applyAlignment="1">
      <alignment horizontal="center" vertical="center" wrapText="1"/>
    </xf>
    <xf numFmtId="0" fontId="8" fillId="9" borderId="1" xfId="0" applyFont="1" applyFill="1" applyBorder="1" applyAlignment="1">
      <alignment horizontal="left" vertical="center" wrapText="1"/>
    </xf>
    <xf numFmtId="175" fontId="7" fillId="9" borderId="0" xfId="0" applyNumberFormat="1" applyFont="1" applyFill="1" applyAlignment="1">
      <alignment vertical="center"/>
    </xf>
    <xf numFmtId="0" fontId="27" fillId="0" borderId="0" xfId="0" applyFont="1" applyAlignment="1">
      <alignment horizontal="left"/>
    </xf>
    <xf numFmtId="0" fontId="9" fillId="0" borderId="0" xfId="0" applyFont="1" applyAlignment="1">
      <alignment horizontal="left" vertical="center" wrapText="1"/>
    </xf>
    <xf numFmtId="0" fontId="42" fillId="10" borderId="0" xfId="0" applyFont="1" applyFill="1" applyAlignment="1">
      <alignment wrapText="1"/>
    </xf>
    <xf numFmtId="175" fontId="45" fillId="9" borderId="0" xfId="0" applyNumberFormat="1" applyFont="1" applyFill="1" applyAlignment="1">
      <alignment vertical="center"/>
    </xf>
    <xf numFmtId="175" fontId="46" fillId="9" borderId="0" xfId="0" applyNumberFormat="1" applyFont="1" applyFill="1" applyAlignment="1">
      <alignment horizontal="left" vertical="center"/>
    </xf>
    <xf numFmtId="0" fontId="45" fillId="9" borderId="0" xfId="0" applyFont="1" applyFill="1" applyAlignment="1">
      <alignment vertical="center" wrapText="1"/>
    </xf>
    <xf numFmtId="0" fontId="45" fillId="9" borderId="0" xfId="0" applyFont="1" applyFill="1" applyAlignment="1">
      <alignment horizontal="left" vertical="center" wrapText="1"/>
    </xf>
    <xf numFmtId="4" fontId="49" fillId="27" borderId="1" xfId="3" applyNumberFormat="1" applyFont="1" applyFill="1" applyBorder="1" applyAlignment="1">
      <alignment horizontal="center" vertical="center" wrapText="1"/>
    </xf>
    <xf numFmtId="0" fontId="45" fillId="14" borderId="1" xfId="0" applyFont="1" applyFill="1" applyBorder="1" applyAlignment="1">
      <alignment horizontal="left" vertical="center" wrapText="1"/>
    </xf>
    <xf numFmtId="4" fontId="46" fillId="24" borderId="1" xfId="1" applyNumberFormat="1" applyFont="1" applyFill="1" applyBorder="1" applyAlignment="1">
      <alignment horizontal="center" vertical="center" wrapText="1"/>
    </xf>
    <xf numFmtId="4" fontId="46" fillId="28" borderId="1" xfId="1" applyNumberFormat="1" applyFont="1" applyFill="1" applyBorder="1" applyAlignment="1">
      <alignment horizontal="center" vertical="center" wrapText="1"/>
    </xf>
    <xf numFmtId="0" fontId="50" fillId="25" borderId="1" xfId="1" applyFont="1" applyFill="1" applyBorder="1" applyAlignment="1">
      <alignment horizontal="center" vertical="center" wrapText="1"/>
    </xf>
    <xf numFmtId="0" fontId="51" fillId="29" borderId="1" xfId="1" applyFont="1" applyFill="1" applyBorder="1" applyAlignment="1">
      <alignment horizontal="center" vertical="center" wrapText="1"/>
    </xf>
    <xf numFmtId="0" fontId="44" fillId="31" borderId="1" xfId="2" applyFont="1" applyFill="1" applyBorder="1" applyAlignment="1">
      <alignment horizontal="center" vertical="center" wrapText="1"/>
    </xf>
    <xf numFmtId="0" fontId="44" fillId="30" borderId="1" xfId="3" applyFont="1" applyFill="1" applyBorder="1" applyAlignment="1">
      <alignment horizontal="center" vertical="center" wrapText="1"/>
    </xf>
    <xf numFmtId="0" fontId="47" fillId="9" borderId="0" xfId="0" applyFont="1" applyFill="1" applyAlignment="1">
      <alignment vertical="center" wrapText="1"/>
    </xf>
    <xf numFmtId="0" fontId="44" fillId="14" borderId="1" xfId="1" applyFont="1" applyFill="1" applyBorder="1" applyAlignment="1">
      <alignment horizontal="center" vertical="center" wrapText="1"/>
    </xf>
    <xf numFmtId="0" fontId="52" fillId="20" borderId="0" xfId="2" applyFont="1" applyFill="1" applyBorder="1" applyAlignment="1">
      <alignment horizontal="center" vertical="center" wrapText="1"/>
    </xf>
    <xf numFmtId="0" fontId="44" fillId="25" borderId="1" xfId="1" applyFont="1" applyFill="1" applyBorder="1" applyAlignment="1">
      <alignment horizontal="center" vertical="center" wrapText="1"/>
    </xf>
    <xf numFmtId="0" fontId="45" fillId="21" borderId="1" xfId="0" applyFont="1" applyFill="1" applyBorder="1" applyAlignment="1">
      <alignment horizontal="center" vertical="center" wrapText="1"/>
    </xf>
    <xf numFmtId="0" fontId="53" fillId="0" borderId="0" xfId="0" applyFont="1"/>
    <xf numFmtId="0" fontId="45" fillId="14" borderId="1" xfId="0" applyFont="1" applyFill="1" applyBorder="1" applyAlignment="1">
      <alignment horizontal="left" vertical="top" wrapText="1"/>
    </xf>
    <xf numFmtId="0" fontId="11" fillId="10" borderId="0" xfId="0" applyFont="1" applyFill="1" applyAlignment="1">
      <alignment vertical="center"/>
    </xf>
    <xf numFmtId="0" fontId="12" fillId="0" borderId="0" xfId="0" applyFont="1"/>
    <xf numFmtId="0" fontId="12" fillId="0" borderId="0" xfId="0" applyFont="1" applyAlignment="1">
      <alignment vertical="center"/>
    </xf>
    <xf numFmtId="165" fontId="12" fillId="10" borderId="0" xfId="0" applyNumberFormat="1" applyFont="1" applyFill="1" applyAlignment="1">
      <alignment vertical="center"/>
    </xf>
    <xf numFmtId="171" fontId="12" fillId="10" borderId="0" xfId="0" applyNumberFormat="1" applyFont="1" applyFill="1" applyAlignment="1">
      <alignment horizontal="right" vertical="center"/>
    </xf>
    <xf numFmtId="14" fontId="54" fillId="10" borderId="0" xfId="0" applyNumberFormat="1" applyFont="1" applyFill="1" applyAlignment="1">
      <alignment vertical="center"/>
    </xf>
    <xf numFmtId="168" fontId="11" fillId="10" borderId="0" xfId="0" applyNumberFormat="1" applyFont="1" applyFill="1" applyAlignment="1">
      <alignment horizontal="left" vertical="center"/>
    </xf>
    <xf numFmtId="3" fontId="11" fillId="10" borderId="0" xfId="0" applyNumberFormat="1" applyFont="1" applyFill="1" applyAlignment="1">
      <alignment horizontal="left" vertical="center"/>
    </xf>
    <xf numFmtId="169" fontId="11" fillId="10" borderId="0" xfId="0" applyNumberFormat="1" applyFont="1" applyFill="1" applyAlignment="1">
      <alignment horizontal="left" vertical="center"/>
    </xf>
    <xf numFmtId="170" fontId="11" fillId="10" borderId="0" xfId="0" applyNumberFormat="1" applyFont="1" applyFill="1" applyAlignment="1">
      <alignment horizontal="left" vertical="center"/>
    </xf>
    <xf numFmtId="0" fontId="7" fillId="0" borderId="0" xfId="0" applyFont="1"/>
    <xf numFmtId="175" fontId="55" fillId="9" borderId="0" xfId="0" applyNumberFormat="1" applyFont="1" applyFill="1" applyAlignment="1">
      <alignment horizontal="left" vertical="center"/>
    </xf>
    <xf numFmtId="0" fontId="9" fillId="9" borderId="36" xfId="0" applyFont="1" applyFill="1" applyBorder="1" applyAlignment="1">
      <alignment horizontal="center" vertical="center" wrapText="1"/>
    </xf>
    <xf numFmtId="0" fontId="9" fillId="9" borderId="37" xfId="0" applyFont="1" applyFill="1" applyBorder="1" applyAlignment="1">
      <alignment horizontal="center" vertical="center" wrapText="1"/>
    </xf>
    <xf numFmtId="0" fontId="9" fillId="10" borderId="0" xfId="0" applyFont="1" applyFill="1" applyAlignment="1">
      <alignment horizontal="right" vertical="center"/>
    </xf>
    <xf numFmtId="0" fontId="11" fillId="9" borderId="23" xfId="1" applyFont="1" applyFill="1" applyBorder="1" applyAlignment="1">
      <alignment horizontal="center" vertical="center" wrapText="1"/>
    </xf>
    <xf numFmtId="165" fontId="8" fillId="10" borderId="0" xfId="0" applyNumberFormat="1" applyFont="1" applyFill="1" applyAlignment="1">
      <alignment vertical="center"/>
    </xf>
    <xf numFmtId="165" fontId="8" fillId="10" borderId="0" xfId="0" applyNumberFormat="1" applyFont="1" applyFill="1" applyAlignment="1">
      <alignment horizontal="right" vertical="center"/>
    </xf>
    <xf numFmtId="0" fontId="8" fillId="0" borderId="0" xfId="0" applyFont="1" applyAlignment="1">
      <alignment vertical="center"/>
    </xf>
    <xf numFmtId="165" fontId="8" fillId="12" borderId="5" xfId="0" applyNumberFormat="1" applyFont="1" applyFill="1" applyBorder="1" applyAlignment="1">
      <alignment vertical="center"/>
    </xf>
    <xf numFmtId="44" fontId="11" fillId="0" borderId="46" xfId="4" applyFont="1" applyFill="1" applyBorder="1" applyAlignment="1">
      <alignment horizontal="center" vertical="center" wrapText="1"/>
    </xf>
    <xf numFmtId="44" fontId="11" fillId="0" borderId="30" xfId="4" applyFont="1" applyFill="1" applyBorder="1" applyAlignment="1">
      <alignment horizontal="center" vertical="center" wrapText="1"/>
    </xf>
    <xf numFmtId="44" fontId="11" fillId="0" borderId="31" xfId="4" applyFont="1" applyFill="1" applyBorder="1" applyAlignment="1">
      <alignment horizontal="center" vertical="center" wrapText="1"/>
    </xf>
    <xf numFmtId="0" fontId="10" fillId="3" borderId="23" xfId="0" applyFont="1" applyFill="1" applyBorder="1" applyAlignment="1">
      <alignment horizontal="center" vertical="center"/>
    </xf>
    <xf numFmtId="44" fontId="9" fillId="14" borderId="52" xfId="4" applyFont="1" applyFill="1" applyBorder="1" applyAlignment="1">
      <alignment horizontal="left" vertical="center" wrapText="1"/>
    </xf>
    <xf numFmtId="44" fontId="9" fillId="14" borderId="53" xfId="4" applyFont="1" applyFill="1" applyBorder="1" applyAlignment="1">
      <alignment horizontal="left" vertical="center" wrapText="1"/>
    </xf>
    <xf numFmtId="0" fontId="33" fillId="22" borderId="4" xfId="0" applyFont="1" applyFill="1" applyBorder="1"/>
    <xf numFmtId="0" fontId="33" fillId="22" borderId="17" xfId="0" applyFont="1" applyFill="1" applyBorder="1"/>
    <xf numFmtId="0" fontId="57" fillId="15" borderId="23" xfId="0" applyFont="1" applyFill="1" applyBorder="1" applyAlignment="1">
      <alignment horizontal="left" vertical="center" wrapText="1"/>
    </xf>
    <xf numFmtId="0" fontId="45" fillId="0" borderId="56" xfId="0" applyFont="1" applyBorder="1" applyAlignment="1">
      <alignment horizontal="left" vertical="center" wrapText="1"/>
    </xf>
    <xf numFmtId="0" fontId="46" fillId="15" borderId="58" xfId="0" applyFont="1" applyFill="1" applyBorder="1" applyAlignment="1">
      <alignment horizontal="center" vertical="center" wrapText="1"/>
    </xf>
    <xf numFmtId="175" fontId="57" fillId="15" borderId="4" xfId="0" applyNumberFormat="1" applyFont="1" applyFill="1" applyBorder="1" applyAlignment="1">
      <alignment horizontal="center" vertical="center" wrapText="1"/>
    </xf>
    <xf numFmtId="175" fontId="57" fillId="15" borderId="5" xfId="0" applyNumberFormat="1" applyFont="1" applyFill="1" applyBorder="1" applyAlignment="1">
      <alignment horizontal="center" vertical="center" wrapText="1"/>
    </xf>
    <xf numFmtId="175" fontId="57" fillId="15" borderId="17" xfId="0" applyNumberFormat="1" applyFont="1" applyFill="1" applyBorder="1" applyAlignment="1">
      <alignment horizontal="center" vertical="center" wrapText="1"/>
    </xf>
    <xf numFmtId="0" fontId="32" fillId="15" borderId="23" xfId="0" applyFont="1" applyFill="1" applyBorder="1" applyAlignment="1">
      <alignment horizontal="center" vertical="center"/>
    </xf>
    <xf numFmtId="0" fontId="33" fillId="15" borderId="6" xfId="0" applyFont="1" applyFill="1" applyBorder="1"/>
    <xf numFmtId="0" fontId="7" fillId="0" borderId="56" xfId="0" applyFont="1" applyBorder="1" applyAlignment="1">
      <alignment horizontal="left"/>
    </xf>
    <xf numFmtId="5" fontId="56" fillId="0" borderId="54" xfId="0" applyNumberFormat="1" applyFont="1" applyBorder="1" applyAlignment="1">
      <alignment horizontal="center" vertical="center"/>
    </xf>
    <xf numFmtId="5" fontId="56" fillId="0" borderId="47" xfId="0" applyNumberFormat="1" applyFont="1" applyBorder="1" applyAlignment="1">
      <alignment horizontal="center" vertical="center"/>
    </xf>
    <xf numFmtId="0" fontId="7" fillId="0" borderId="6" xfId="0" applyFont="1" applyBorder="1"/>
    <xf numFmtId="0" fontId="33" fillId="15" borderId="23" xfId="0" applyFont="1" applyFill="1" applyBorder="1" applyAlignment="1">
      <alignment horizontal="center"/>
    </xf>
    <xf numFmtId="0" fontId="33" fillId="15" borderId="23" xfId="0" applyFont="1" applyFill="1" applyBorder="1" applyAlignment="1">
      <alignment horizontal="left" vertical="center"/>
    </xf>
    <xf numFmtId="0" fontId="33" fillId="15" borderId="23" xfId="0" applyFont="1" applyFill="1" applyBorder="1" applyAlignment="1">
      <alignment horizontal="center" vertical="center"/>
    </xf>
    <xf numFmtId="174" fontId="33" fillId="15" borderId="23" xfId="0" applyNumberFormat="1" applyFont="1" applyFill="1" applyBorder="1" applyAlignment="1">
      <alignment horizontal="center" vertical="center"/>
    </xf>
    <xf numFmtId="0" fontId="33" fillId="15" borderId="23" xfId="0" applyFont="1" applyFill="1" applyBorder="1" applyAlignment="1">
      <alignment horizontal="left"/>
    </xf>
    <xf numFmtId="5" fontId="33" fillId="15" borderId="23" xfId="0" applyNumberFormat="1" applyFont="1" applyFill="1" applyBorder="1" applyAlignment="1">
      <alignment horizontal="center"/>
    </xf>
    <xf numFmtId="0" fontId="33" fillId="15" borderId="23" xfId="0" applyFont="1" applyFill="1" applyBorder="1"/>
    <xf numFmtId="0" fontId="33" fillId="15" borderId="48" xfId="0" applyFont="1" applyFill="1" applyBorder="1"/>
    <xf numFmtId="175" fontId="33" fillId="15" borderId="23" xfId="0" applyNumberFormat="1" applyFont="1" applyFill="1" applyBorder="1" applyAlignment="1">
      <alignment horizontal="center"/>
    </xf>
    <xf numFmtId="0" fontId="33" fillId="15" borderId="56" xfId="0" applyFont="1" applyFill="1" applyBorder="1" applyAlignment="1">
      <alignment vertical="center"/>
    </xf>
    <xf numFmtId="5" fontId="32" fillId="15" borderId="25" xfId="0" applyNumberFormat="1" applyFont="1" applyFill="1" applyBorder="1" applyAlignment="1">
      <alignment horizontal="center" vertical="center"/>
    </xf>
    <xf numFmtId="0" fontId="32" fillId="15" borderId="50" xfId="0" applyFont="1" applyFill="1" applyBorder="1" applyAlignment="1">
      <alignment horizontal="left"/>
    </xf>
    <xf numFmtId="0" fontId="33" fillId="15" borderId="54" xfId="0" applyFont="1" applyFill="1" applyBorder="1"/>
    <xf numFmtId="0" fontId="7" fillId="0" borderId="50" xfId="0" applyFont="1" applyBorder="1" applyAlignment="1">
      <alignment horizontal="left"/>
    </xf>
    <xf numFmtId="175" fontId="58" fillId="9" borderId="0" xfId="0" applyNumberFormat="1" applyFont="1" applyFill="1" applyAlignment="1">
      <alignment vertical="center"/>
    </xf>
    <xf numFmtId="0" fontId="59" fillId="32" borderId="0" xfId="0" applyFont="1" applyFill="1" applyAlignment="1" applyProtection="1">
      <alignment vertical="center" readingOrder="1"/>
      <protection locked="0"/>
    </xf>
    <xf numFmtId="0" fontId="58" fillId="0" borderId="0" xfId="0" applyFont="1" applyAlignment="1" applyProtection="1">
      <alignment horizontal="left" vertical="center"/>
      <protection locked="0"/>
    </xf>
    <xf numFmtId="0" fontId="58" fillId="9" borderId="0" xfId="0" applyFont="1" applyFill="1" applyAlignment="1" applyProtection="1">
      <alignment vertical="top" wrapText="1"/>
      <protection locked="0"/>
    </xf>
    <xf numFmtId="0" fontId="7" fillId="0" borderId="51" xfId="0" applyFont="1" applyBorder="1"/>
    <xf numFmtId="0" fontId="7" fillId="0" borderId="50" xfId="0" pivotButton="1" applyFont="1" applyBorder="1"/>
    <xf numFmtId="175" fontId="61" fillId="0" borderId="56" xfId="0" applyNumberFormat="1" applyFont="1" applyBorder="1" applyAlignment="1">
      <alignment horizontal="center" vertical="center" wrapText="1"/>
    </xf>
    <xf numFmtId="0" fontId="46" fillId="24" borderId="58" xfId="0" applyFont="1" applyFill="1" applyBorder="1" applyAlignment="1">
      <alignment horizontal="center" vertical="center" wrapText="1"/>
    </xf>
    <xf numFmtId="0" fontId="50" fillId="25" borderId="58" xfId="0" applyFont="1" applyFill="1" applyBorder="1" applyAlignment="1">
      <alignment horizontal="center" vertical="center" wrapText="1"/>
    </xf>
    <xf numFmtId="0" fontId="51" fillId="33" borderId="58" xfId="0" applyFont="1" applyFill="1" applyBorder="1" applyAlignment="1">
      <alignment horizontal="center" vertical="center" wrapText="1"/>
    </xf>
    <xf numFmtId="0" fontId="44" fillId="9" borderId="55" xfId="0" applyFont="1" applyFill="1" applyBorder="1" applyAlignment="1">
      <alignment horizontal="center" vertical="center" wrapText="1"/>
    </xf>
    <xf numFmtId="175" fontId="60" fillId="0" borderId="57" xfId="0" applyNumberFormat="1" applyFont="1" applyBorder="1" applyAlignment="1">
      <alignment horizontal="center" vertical="center" wrapText="1"/>
    </xf>
    <xf numFmtId="175" fontId="58" fillId="18" borderId="4" xfId="0" applyNumberFormat="1" applyFont="1" applyFill="1" applyBorder="1" applyAlignment="1">
      <alignment horizontal="center" vertical="center" wrapText="1"/>
    </xf>
    <xf numFmtId="175" fontId="58" fillId="18" borderId="5" xfId="0" applyNumberFormat="1" applyFont="1" applyFill="1" applyBorder="1" applyAlignment="1">
      <alignment horizontal="center" vertical="center" wrapText="1"/>
    </xf>
    <xf numFmtId="175" fontId="58" fillId="18" borderId="17" xfId="0" applyNumberFormat="1" applyFont="1" applyFill="1" applyBorder="1" applyAlignment="1">
      <alignment horizontal="center" vertical="center" wrapText="1"/>
    </xf>
    <xf numFmtId="0" fontId="58" fillId="18" borderId="4" xfId="0" applyFont="1" applyFill="1" applyBorder="1" applyAlignment="1">
      <alignment horizontal="left" vertical="center" wrapText="1"/>
    </xf>
    <xf numFmtId="0" fontId="43" fillId="10" borderId="0" xfId="0" applyFont="1" applyFill="1" applyAlignment="1">
      <alignment horizontal="left" wrapText="1"/>
    </xf>
    <xf numFmtId="0" fontId="11" fillId="9" borderId="4" xfId="0" applyFont="1" applyFill="1" applyBorder="1" applyAlignment="1">
      <alignment horizontal="center" vertical="center" wrapText="1"/>
    </xf>
    <xf numFmtId="0" fontId="11" fillId="9" borderId="5" xfId="0" applyFont="1" applyFill="1" applyBorder="1" applyAlignment="1">
      <alignment horizontal="center" vertical="center" wrapText="1"/>
    </xf>
    <xf numFmtId="0" fontId="11" fillId="9" borderId="17" xfId="0" applyFont="1" applyFill="1" applyBorder="1" applyAlignment="1">
      <alignment horizontal="center" vertical="center" wrapText="1"/>
    </xf>
    <xf numFmtId="0" fontId="7" fillId="18" borderId="0" xfId="0" applyFont="1" applyFill="1" applyAlignment="1">
      <alignment horizontal="left" vertical="center" wrapText="1"/>
    </xf>
    <xf numFmtId="0" fontId="10" fillId="15" borderId="1" xfId="0" applyFont="1" applyFill="1" applyBorder="1" applyAlignment="1">
      <alignment horizontal="center" vertical="center" wrapText="1"/>
    </xf>
    <xf numFmtId="0" fontId="25" fillId="17" borderId="41" xfId="0" applyFont="1" applyFill="1" applyBorder="1" applyAlignment="1">
      <alignment horizontal="center" vertical="top" textRotation="255" wrapText="1"/>
    </xf>
    <xf numFmtId="0" fontId="25" fillId="17" borderId="18" xfId="0" applyFont="1" applyFill="1" applyBorder="1" applyAlignment="1">
      <alignment horizontal="center" vertical="top" textRotation="255" wrapText="1"/>
    </xf>
    <xf numFmtId="0" fontId="25" fillId="17" borderId="42" xfId="0" applyFont="1" applyFill="1" applyBorder="1" applyAlignment="1">
      <alignment horizontal="center" vertical="top" textRotation="255" wrapText="1"/>
    </xf>
    <xf numFmtId="0" fontId="10" fillId="15" borderId="16" xfId="0" applyFont="1" applyFill="1" applyBorder="1" applyAlignment="1">
      <alignment horizontal="center" vertical="center" wrapText="1"/>
    </xf>
    <xf numFmtId="0" fontId="10" fillId="15" borderId="9" xfId="0" applyFont="1" applyFill="1" applyBorder="1" applyAlignment="1">
      <alignment horizontal="center" vertical="center" wrapText="1"/>
    </xf>
    <xf numFmtId="0" fontId="46" fillId="15" borderId="49" xfId="0" applyFont="1" applyFill="1" applyBorder="1" applyAlignment="1">
      <alignment horizontal="center" vertical="center" wrapText="1"/>
    </xf>
    <xf numFmtId="0" fontId="48" fillId="16" borderId="16" xfId="0" applyFont="1" applyFill="1" applyBorder="1" applyAlignment="1">
      <alignment horizontal="center" vertical="center" wrapText="1"/>
    </xf>
    <xf numFmtId="0" fontId="48" fillId="16" borderId="9" xfId="0" applyFont="1" applyFill="1" applyBorder="1" applyAlignment="1">
      <alignment horizontal="center" vertical="center" wrapText="1"/>
    </xf>
    <xf numFmtId="5" fontId="7" fillId="0" borderId="47" xfId="0" applyNumberFormat="1" applyFont="1" applyFill="1" applyBorder="1" applyAlignment="1">
      <alignment horizontal="center"/>
    </xf>
    <xf numFmtId="5" fontId="7" fillId="0" borderId="25" xfId="0" applyNumberFormat="1" applyFont="1" applyFill="1" applyBorder="1" applyAlignment="1">
      <alignment horizontal="center"/>
    </xf>
    <xf numFmtId="0" fontId="7" fillId="0" borderId="55" xfId="0" pivotButton="1" applyFont="1" applyBorder="1"/>
    <xf numFmtId="175" fontId="45" fillId="0" borderId="0" xfId="0" applyNumberFormat="1" applyFont="1" applyBorder="1" applyAlignment="1">
      <alignment horizontal="center" vertical="center" wrapText="1"/>
    </xf>
    <xf numFmtId="0" fontId="46" fillId="9" borderId="0" xfId="0" applyFont="1" applyFill="1" applyBorder="1" applyAlignment="1">
      <alignment horizontal="center" vertical="center" wrapText="1"/>
    </xf>
    <xf numFmtId="175" fontId="62" fillId="0" borderId="0" xfId="0" applyNumberFormat="1" applyFont="1" applyBorder="1" applyAlignment="1">
      <alignment horizontal="center" vertical="center" wrapText="1"/>
    </xf>
    <xf numFmtId="0" fontId="49" fillId="27" borderId="54" xfId="0" applyFont="1" applyFill="1" applyBorder="1" applyAlignment="1">
      <alignment horizontal="center" vertical="center" wrapText="1"/>
    </xf>
    <xf numFmtId="175" fontId="63" fillId="0" borderId="0" xfId="0" applyNumberFormat="1" applyFont="1" applyBorder="1" applyAlignment="1">
      <alignment horizontal="center" vertical="center" wrapText="1"/>
    </xf>
    <xf numFmtId="175" fontId="64" fillId="0" borderId="0" xfId="0" applyNumberFormat="1" applyFont="1" applyBorder="1" applyAlignment="1">
      <alignment horizontal="center" vertical="center" wrapText="1"/>
    </xf>
    <xf numFmtId="175" fontId="65" fillId="0" borderId="0" xfId="0" applyNumberFormat="1" applyFont="1" applyBorder="1" applyAlignment="1">
      <alignment horizontal="center" vertical="center" wrapText="1"/>
    </xf>
    <xf numFmtId="0" fontId="15" fillId="0" borderId="32" xfId="0" applyFont="1" applyBorder="1" applyAlignment="1">
      <alignment horizontal="left" vertical="center" wrapText="1"/>
    </xf>
    <xf numFmtId="0" fontId="15" fillId="0" borderId="22" xfId="0" applyFont="1" applyBorder="1" applyAlignment="1">
      <alignment horizontal="left" vertical="center" wrapText="1"/>
    </xf>
    <xf numFmtId="44" fontId="15" fillId="14" borderId="52" xfId="4" applyFont="1" applyFill="1" applyBorder="1" applyAlignment="1">
      <alignment horizontal="left" vertical="center" wrapText="1"/>
    </xf>
    <xf numFmtId="10" fontId="15" fillId="14" borderId="1" xfId="8" applyNumberFormat="1" applyFont="1" applyFill="1" applyBorder="1" applyAlignment="1">
      <alignment horizontal="center" vertical="center" wrapText="1"/>
    </xf>
    <xf numFmtId="0" fontId="25" fillId="17" borderId="59" xfId="0" applyFont="1" applyFill="1" applyBorder="1" applyAlignment="1">
      <alignment horizontal="center" vertical="top" textRotation="255" wrapText="1"/>
    </xf>
    <xf numFmtId="0" fontId="25" fillId="17" borderId="0" xfId="0" applyFont="1" applyFill="1" applyBorder="1" applyAlignment="1">
      <alignment horizontal="center" vertical="top" textRotation="255" wrapText="1"/>
    </xf>
    <xf numFmtId="0" fontId="9" fillId="9" borderId="35" xfId="0" applyFont="1" applyFill="1" applyBorder="1" applyAlignment="1">
      <alignment horizontal="left" vertical="center" wrapText="1"/>
    </xf>
    <xf numFmtId="0" fontId="9" fillId="9" borderId="40" xfId="0" applyFont="1" applyFill="1" applyBorder="1" applyAlignment="1">
      <alignment horizontal="left" vertical="center" wrapText="1"/>
    </xf>
  </cellXfs>
  <cellStyles count="12">
    <cellStyle name="Bueno" xfId="1" builtinId="26"/>
    <cellStyle name="Incorrecto" xfId="2" builtinId="27"/>
    <cellStyle name="Moneda" xfId="4" builtinId="4"/>
    <cellStyle name="Moneda 2" xfId="6" xr:uid="{00000000-0005-0000-0000-000003000000}"/>
    <cellStyle name="Moneda 3" xfId="7" xr:uid="{00000000-0005-0000-0000-000004000000}"/>
    <cellStyle name="Neutral" xfId="3" builtinId="28"/>
    <cellStyle name="Normal" xfId="0" builtinId="0"/>
    <cellStyle name="Normal 2" xfId="5" xr:uid="{00000000-0005-0000-0000-000007000000}"/>
    <cellStyle name="Normal 2 2" xfId="9" xr:uid="{97588014-B162-46FB-9012-ED2932ADA0E9}"/>
    <cellStyle name="Normal 2 2 2" xfId="11" xr:uid="{698EEB7A-28E3-40ED-BF81-2A63AE103DF8}"/>
    <cellStyle name="Normal 3" xfId="10" xr:uid="{BE6D4CA5-2CC5-46CF-B5C9-2E5C87DB935B}"/>
    <cellStyle name="Porcentaje" xfId="8" builtinId="5"/>
  </cellStyles>
  <dxfs count="348">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ill>
        <patternFill>
          <bgColor theme="5" tint="0.39994506668294322"/>
        </patternFill>
      </fill>
    </dxf>
    <dxf>
      <fill>
        <patternFill>
          <bgColor rgb="FFFFE79B"/>
        </patternFill>
      </fill>
    </dxf>
    <dxf>
      <font>
        <color auto="1"/>
      </font>
      <fill>
        <patternFill>
          <bgColor theme="9" tint="0.59996337778862885"/>
        </patternFill>
      </fill>
    </dxf>
    <dxf>
      <fill>
        <patternFill>
          <bgColor theme="0"/>
        </patternFill>
      </fill>
    </dxf>
    <dxf>
      <font>
        <color auto="1"/>
      </font>
      <fill>
        <patternFill>
          <bgColor rgb="FFFFA3A3"/>
        </patternFill>
      </fill>
    </dxf>
    <dxf>
      <font>
        <color theme="0"/>
      </font>
      <fill>
        <patternFill patternType="none">
          <bgColor auto="1"/>
        </patternFill>
      </fill>
    </dxf>
    <dxf>
      <font>
        <b/>
        <i val="0"/>
        <color rgb="FFFF0000"/>
      </font>
    </dxf>
    <dxf>
      <fill>
        <patternFill patternType="none">
          <bgColor auto="1"/>
        </patternFill>
      </fill>
    </dxf>
    <dxf>
      <border>
        <left style="medium">
          <color indexed="64"/>
        </left>
        <bottom style="medium">
          <color indexed="64"/>
        </bottom>
      </border>
    </dxf>
    <dxf>
      <border>
        <left style="medium">
          <color indexed="64"/>
        </left>
        <bottom style="medium">
          <color indexed="64"/>
        </bottom>
      </border>
    </dxf>
    <dxf>
      <border>
        <left style="medium">
          <color indexed="64"/>
        </left>
        <bottom style="medium">
          <color indexed="64"/>
        </bottom>
      </border>
    </dxf>
    <dxf>
      <border>
        <left style="medium">
          <color indexed="64"/>
        </left>
        <bottom style="medium">
          <color indexed="64"/>
        </bottom>
      </border>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color theme="0"/>
      </font>
    </dxf>
    <dxf>
      <font>
        <color theme="0"/>
      </font>
    </dxf>
    <dxf>
      <fill>
        <patternFill patternType="solid">
          <bgColor rgb="FF002060"/>
        </patternFill>
      </fill>
    </dxf>
    <dxf>
      <fill>
        <patternFill patternType="solid">
          <bgColor rgb="FF002060"/>
        </patternFill>
      </fill>
    </dxf>
    <dxf>
      <border>
        <left style="medium">
          <color indexed="64"/>
        </left>
        <right style="medium">
          <color indexed="64"/>
        </right>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name val="Aptos"/>
        <family val="2"/>
      </font>
    </dxf>
    <dxf>
      <font>
        <name val="Aptos"/>
        <family val="2"/>
      </font>
    </dxf>
    <dxf>
      <font>
        <name val="Aptos"/>
        <family val="2"/>
      </font>
    </dxf>
    <dxf>
      <font>
        <name val="Aptos"/>
        <family val="2"/>
      </font>
    </dxf>
    <dxf>
      <alignment horizontal="center"/>
    </dxf>
    <dxf>
      <numFmt numFmtId="9" formatCode="#,##0\ &quot;€&quot;;\-#,##0\ &quot;€&quot;"/>
    </dxf>
    <dxf>
      <border>
        <top style="medium">
          <color indexed="64"/>
        </top>
      </border>
    </dxf>
    <dxf>
      <border>
        <top style="medium">
          <color indexed="64"/>
        </top>
      </border>
    </dxf>
    <dxf>
      <border>
        <left style="medium">
          <color indexed="64"/>
        </left>
      </border>
    </dxf>
    <dxf>
      <border>
        <left style="medium">
          <color indexed="64"/>
        </left>
      </border>
    </dxf>
    <dxf>
      <border>
        <left style="medium">
          <color indexed="64"/>
        </left>
      </border>
    </dxf>
    <dxf>
      <border>
        <left style="medium">
          <color indexed="64"/>
        </left>
      </border>
    </dxf>
    <dxf>
      <border>
        <left style="medium">
          <color indexed="64"/>
        </left>
      </border>
    </dxf>
    <dxf>
      <border>
        <left style="medium">
          <color indexed="64"/>
        </left>
      </border>
    </dxf>
    <dxf>
      <border>
        <right style="medium">
          <color indexed="64"/>
        </right>
        <top style="medium">
          <color indexed="64"/>
        </top>
      </border>
    </dxf>
    <dxf>
      <border>
        <right style="medium">
          <color indexed="64"/>
        </right>
        <top style="medium">
          <color indexed="64"/>
        </top>
      </border>
    </dxf>
    <dxf>
      <border>
        <right style="medium">
          <color indexed="64"/>
        </right>
        <top style="medium">
          <color indexed="64"/>
        </top>
      </border>
    </dxf>
    <dxf>
      <border>
        <right style="medium">
          <color indexed="64"/>
        </right>
        <top style="medium">
          <color indexed="64"/>
        </top>
      </border>
    </dxf>
    <dxf>
      <border>
        <right style="medium">
          <color indexed="64"/>
        </right>
        <top style="medium">
          <color indexed="64"/>
        </top>
      </border>
    </dxf>
    <dxf>
      <border>
        <right style="medium">
          <color indexed="64"/>
        </right>
        <top style="medium">
          <color indexed="64"/>
        </top>
      </border>
    </dxf>
    <dxf>
      <font>
        <color theme="0"/>
      </font>
    </dxf>
    <dxf>
      <fill>
        <patternFill patternType="solid">
          <bgColor rgb="FF002060"/>
        </patternFill>
      </fill>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color theme="0"/>
      </font>
    </dxf>
    <dxf>
      <font>
        <color theme="0"/>
      </font>
    </dxf>
    <dxf>
      <font>
        <color theme="0"/>
      </font>
    </dxf>
    <dxf>
      <fill>
        <patternFill patternType="solid">
          <bgColor rgb="FF002060"/>
        </patternFill>
      </fill>
    </dxf>
    <dxf>
      <fill>
        <patternFill patternType="solid">
          <bgColor rgb="FF002060"/>
        </patternFill>
      </fill>
    </dxf>
    <dxf>
      <fill>
        <patternFill patternType="solid">
          <bgColor rgb="FF002060"/>
        </patternFill>
      </fill>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top style="medium">
          <color indexed="64"/>
        </top>
        <bottom style="medium">
          <color indexed="64"/>
        </bottom>
      </border>
    </dxf>
    <dxf>
      <font>
        <name val="Aptos"/>
        <family val="2"/>
      </font>
    </dxf>
    <dxf>
      <font>
        <name val="Aptos"/>
        <family val="2"/>
      </font>
    </dxf>
    <dxf>
      <font>
        <name val="Aptos"/>
        <family val="2"/>
      </font>
    </dxf>
    <dxf>
      <alignment horizontal="center"/>
    </dxf>
    <dxf>
      <numFmt numFmtId="9" formatCode="#,##0\ &quot;€&quot;;\-#,##0\ &quot;€&quot;"/>
    </dxf>
    <dxf>
      <alignment horizontal="center"/>
    </dxf>
    <dxf>
      <alignment horizontal="center"/>
    </dxf>
    <dxf>
      <numFmt numFmtId="175" formatCode="#,##0.00\ &quot;€&quot;"/>
    </dxf>
    <dxf>
      <font>
        <color theme="0"/>
      </font>
    </dxf>
    <dxf>
      <fill>
        <patternFill patternType="solid">
          <bgColor rgb="FF002060"/>
        </patternFill>
      </fill>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color theme="0"/>
      </font>
    </dxf>
    <dxf>
      <font>
        <color theme="0"/>
      </font>
    </dxf>
    <dxf>
      <font>
        <color theme="0"/>
      </font>
    </dxf>
    <dxf>
      <fill>
        <patternFill patternType="solid">
          <bgColor rgb="FF002060"/>
        </patternFill>
      </fill>
    </dxf>
    <dxf>
      <fill>
        <patternFill patternType="solid">
          <bgColor rgb="FF002060"/>
        </patternFill>
      </fill>
    </dxf>
    <dxf>
      <fill>
        <patternFill patternType="solid">
          <bgColor rgb="FF002060"/>
        </patternFill>
      </fill>
    </dxf>
    <dxf>
      <border>
        <top style="medium">
          <color indexed="64"/>
        </top>
      </border>
    </dxf>
    <dxf>
      <border>
        <top style="medium">
          <color indexed="64"/>
        </top>
      </border>
    </dxf>
    <dxf>
      <border>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name val="Aptos"/>
        <family val="2"/>
      </font>
    </dxf>
    <dxf>
      <font>
        <name val="Aptos"/>
        <family val="2"/>
      </font>
    </dxf>
    <dxf>
      <font>
        <name val="Aptos"/>
        <family val="2"/>
      </font>
    </dxf>
    <dxf>
      <font>
        <name val="Aptos"/>
        <family val="2"/>
      </font>
    </dxf>
    <dxf>
      <alignment horizontal="center"/>
    </dxf>
    <dxf>
      <numFmt numFmtId="9" formatCode="#,##0\ &quot;€&quot;;\-#,##0\ &quot;€&quot;"/>
    </dxf>
    <dxf>
      <alignment horizontal="center"/>
    </dxf>
    <dxf>
      <numFmt numFmtId="176" formatCode="_-* #,##0\ &quot;€&quot;_-;\-* #,##0\ &quot;€&quot;_-;_-* &quot;-&quot;??\ &quot;€&quot;_-;_-@_-"/>
    </dxf>
    <dxf>
      <font>
        <b/>
      </font>
    </dxf>
    <dxf>
      <font>
        <b/>
      </font>
    </dxf>
    <dxf>
      <font>
        <color theme="0"/>
      </font>
    </dxf>
    <dxf>
      <font>
        <color theme="0"/>
      </font>
    </dxf>
    <dxf>
      <fill>
        <patternFill patternType="solid">
          <bgColor rgb="FF002060"/>
        </patternFill>
      </fill>
    </dxf>
    <dxf>
      <fill>
        <patternFill patternType="solid">
          <bgColor rgb="FF002060"/>
        </patternFill>
      </fill>
    </dxf>
    <dxf>
      <alignment horizontal="center"/>
    </dxf>
    <dxf>
      <border>
        <top style="medium">
          <color indexed="64"/>
        </top>
      </border>
    </dxf>
    <dxf>
      <border>
        <top style="medium">
          <color indexed="64"/>
        </top>
      </border>
    </dxf>
    <dxf>
      <border>
        <top style="medium">
          <color indexed="64"/>
        </top>
      </border>
    </dxf>
    <dxf>
      <font>
        <color theme="0"/>
      </font>
    </dxf>
    <dxf>
      <fill>
        <patternFill patternType="solid">
          <bgColor rgb="FF002060"/>
        </patternFill>
      </fill>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ill>
        <patternFill patternType="solid">
          <bgColor rgb="FF002060"/>
        </patternFill>
      </fill>
    </dxf>
    <dxf>
      <fill>
        <patternFill patternType="solid">
          <bgColor rgb="FF002060"/>
        </patternFill>
      </fill>
    </dxf>
    <dxf>
      <font>
        <color theme="0"/>
      </font>
    </dxf>
    <dxf>
      <font>
        <color theme="0"/>
      </font>
    </dxf>
    <dxf>
      <border>
        <left style="medium">
          <color indexed="64"/>
        </left>
      </border>
    </dxf>
    <dxf>
      <border>
        <left style="medium">
          <color indexed="64"/>
        </left>
      </border>
    </dxf>
    <dxf>
      <border>
        <left style="thin">
          <color indexed="64"/>
        </left>
      </border>
    </dxf>
    <dxf>
      <border>
        <right style="thin">
          <color indexed="64"/>
        </right>
      </border>
    </dxf>
    <dxf>
      <border>
        <right style="thin">
          <color indexed="64"/>
        </right>
      </border>
    </dxf>
    <dxf>
      <border>
        <bottom style="medium">
          <color indexed="64"/>
        </bottom>
      </border>
    </dxf>
    <dxf>
      <border>
        <bottom style="medium">
          <color indexed="64"/>
        </bottom>
      </border>
    </dxf>
    <dxf>
      <border>
        <bottom style="medium">
          <color indexed="64"/>
        </bottom>
      </border>
    </dxf>
    <dxf>
      <border>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name val="Aptos"/>
        <family val="2"/>
      </font>
    </dxf>
    <dxf>
      <font>
        <name val="Aptos"/>
        <family val="2"/>
      </font>
    </dxf>
    <dxf>
      <font>
        <name val="Aptos"/>
        <family val="2"/>
      </font>
    </dxf>
    <dxf>
      <font>
        <name val="Aptos"/>
        <family val="2"/>
      </font>
    </dxf>
    <dxf>
      <font>
        <name val="Aptos"/>
        <family val="2"/>
      </font>
    </dxf>
    <dxf>
      <font>
        <name val="Aptos"/>
        <family val="2"/>
      </font>
    </dxf>
    <dxf>
      <font>
        <b/>
      </font>
    </dxf>
    <dxf>
      <font>
        <b/>
      </font>
    </dxf>
    <dxf>
      <alignment horizontal="center"/>
    </dxf>
    <dxf>
      <alignment horizontal="center"/>
    </dxf>
    <dxf>
      <alignment vertical="center"/>
    </dxf>
    <dxf>
      <alignment vertical="center"/>
    </dxf>
    <dxf>
      <numFmt numFmtId="9" formatCode="#,##0\ &quot;€&quot;;\-#,##0\ &quot;€&quot;"/>
    </dxf>
    <dxf>
      <font>
        <color theme="0"/>
      </font>
    </dxf>
    <dxf>
      <fill>
        <patternFill patternType="solid">
          <bgColor rgb="FF002060"/>
        </patternFill>
      </fill>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color theme="0"/>
      </font>
    </dxf>
    <dxf>
      <font>
        <color theme="0"/>
      </font>
    </dxf>
    <dxf>
      <font>
        <color theme="0"/>
      </font>
    </dxf>
    <dxf>
      <fill>
        <patternFill patternType="solid">
          <bgColor rgb="FF002060"/>
        </patternFill>
      </fill>
    </dxf>
    <dxf>
      <fill>
        <patternFill patternType="solid">
          <bgColor rgb="FF002060"/>
        </patternFill>
      </fill>
    </dxf>
    <dxf>
      <fill>
        <patternFill patternType="solid">
          <bgColor rgb="FF002060"/>
        </patternFill>
      </fill>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vertical="center"/>
    </dxf>
    <dxf>
      <alignment vertical="center"/>
    </dxf>
    <dxf>
      <alignment vertical="center"/>
    </dxf>
    <dxf>
      <alignment horizontal="center"/>
    </dxf>
    <dxf>
      <alignment horizontal="center"/>
    </dxf>
    <dxf>
      <font>
        <name val="Aptos"/>
        <scheme val="none"/>
      </font>
    </dxf>
    <dxf>
      <font>
        <name val="Aptos"/>
        <scheme val="none"/>
      </font>
    </dxf>
    <dxf>
      <font>
        <name val="Aptos"/>
        <scheme val="none"/>
      </font>
    </dxf>
    <dxf>
      <font>
        <name val="Aptos"/>
        <scheme val="none"/>
      </font>
    </dxf>
    <dxf>
      <numFmt numFmtId="174" formatCode="#,##0\ &quot;€&quot;"/>
    </dxf>
    <dxf>
      <font>
        <sz val="14"/>
      </font>
    </dxf>
    <dxf>
      <font>
        <sz val="14"/>
      </font>
    </dxf>
    <dxf>
      <fill>
        <patternFill>
          <bgColor rgb="FFFFE843"/>
        </patternFill>
      </fill>
    </dxf>
    <dxf>
      <fill>
        <patternFill>
          <bgColor rgb="FFFFE843"/>
        </patternFill>
      </fill>
    </dxf>
    <dxf>
      <font>
        <sz val="14"/>
      </font>
    </dxf>
    <dxf>
      <font>
        <sz val="14"/>
      </font>
    </dxf>
    <dxf>
      <fill>
        <patternFill>
          <bgColor rgb="FFFFE843"/>
        </patternFill>
      </fill>
    </dxf>
    <dxf>
      <fill>
        <patternFill>
          <bgColor rgb="FFFFE843"/>
        </patternFill>
      </fill>
    </dxf>
    <dxf>
      <font>
        <sz val="14"/>
      </font>
    </dxf>
    <dxf>
      <font>
        <sz val="14"/>
      </font>
    </dxf>
    <dxf>
      <fill>
        <patternFill>
          <bgColor rgb="FFFFE843"/>
        </patternFill>
      </fill>
    </dxf>
    <dxf>
      <fill>
        <patternFill>
          <bgColor rgb="FFFFE843"/>
        </patternFill>
      </fill>
    </dxf>
    <dxf>
      <fill>
        <patternFill>
          <bgColor rgb="FFFFE843"/>
        </patternFill>
      </fill>
    </dxf>
    <dxf>
      <fill>
        <patternFill>
          <bgColor rgb="FFFFE843"/>
        </patternFill>
      </fill>
    </dxf>
    <dxf>
      <font>
        <sz val="14"/>
      </font>
    </dxf>
    <dxf>
      <font>
        <sz val="14"/>
      </font>
    </dxf>
    <dxf>
      <fill>
        <patternFill>
          <bgColor rgb="FFFFE79B"/>
        </patternFill>
      </fill>
    </dxf>
    <dxf>
      <fill>
        <patternFill>
          <bgColor rgb="FFFFE79B"/>
        </patternFill>
      </fill>
    </dxf>
    <dxf>
      <font>
        <b/>
      </font>
    </dxf>
    <dxf>
      <font>
        <b/>
      </font>
    </dxf>
    <dxf>
      <font>
        <b/>
      </font>
    </dxf>
    <dxf>
      <font>
        <b/>
      </font>
    </dxf>
    <dxf>
      <fill>
        <patternFill>
          <bgColor theme="0"/>
        </patternFill>
      </fill>
    </dxf>
    <dxf>
      <font>
        <color auto="1"/>
      </font>
    </dxf>
    <dxf>
      <font>
        <color rgb="FF7030A0"/>
      </font>
    </dxf>
    <dxf>
      <font>
        <color rgb="FF7030A0"/>
      </font>
    </dxf>
    <dxf>
      <font>
        <color rgb="FF7030A0"/>
      </font>
    </dxf>
    <dxf>
      <font>
        <color rgb="FF7030A0"/>
      </font>
    </dxf>
    <dxf>
      <font>
        <color rgb="FF7030A0"/>
      </font>
    </dxf>
    <dxf>
      <fill>
        <patternFill>
          <bgColor rgb="FFE1CCF0"/>
        </patternFill>
      </fill>
    </dxf>
    <dxf>
      <font>
        <color theme="9" tint="-0.499984740745262"/>
      </font>
    </dxf>
    <dxf>
      <font>
        <color theme="9" tint="-0.499984740745262"/>
      </font>
    </dxf>
    <dxf>
      <font>
        <color theme="9" tint="-0.499984740745262"/>
      </font>
    </dxf>
    <dxf>
      <font>
        <color theme="9" tint="-0.499984740745262"/>
      </font>
    </dxf>
    <dxf>
      <font>
        <color theme="9" tint="-0.499984740745262"/>
      </font>
    </dxf>
    <dxf>
      <fill>
        <patternFill>
          <bgColor theme="9" tint="0.79998168889431442"/>
        </patternFill>
      </fill>
    </dxf>
    <dxf>
      <font>
        <color rgb="FF002060"/>
      </font>
    </dxf>
    <dxf>
      <font>
        <color rgb="FF002060"/>
      </font>
    </dxf>
    <dxf>
      <font>
        <color rgb="FF002060"/>
      </font>
    </dxf>
    <dxf>
      <font>
        <color rgb="FF002060"/>
      </font>
    </dxf>
    <dxf>
      <border>
        <top style="medium">
          <color indexed="64"/>
        </top>
      </border>
    </dxf>
    <dxf>
      <border>
        <left style="medium">
          <color indexed="64"/>
        </left>
        <right style="medium">
          <color indexed="64"/>
        </right>
      </border>
    </dxf>
    <dxf>
      <font>
        <color theme="4" tint="-0.499984740745262"/>
      </font>
    </dxf>
    <dxf>
      <font>
        <color theme="4" tint="-0.499984740745262"/>
      </font>
    </dxf>
    <dxf>
      <font>
        <color theme="4" tint="-0.499984740745262"/>
      </font>
    </dxf>
    <dxf>
      <font>
        <color theme="4" tint="-0.499984740745262"/>
      </font>
    </dxf>
    <dxf>
      <fill>
        <patternFill>
          <bgColor theme="8" tint="0.39997558519241921"/>
        </patternFill>
      </fill>
    </dxf>
    <dxf>
      <font>
        <color theme="8" tint="-0.249977111117893"/>
      </font>
    </dxf>
    <dxf>
      <font>
        <color theme="8" tint="-0.249977111117893"/>
      </font>
    </dxf>
    <dxf>
      <font>
        <color theme="8" tint="-0.249977111117893"/>
      </font>
    </dxf>
    <dxf>
      <font>
        <color theme="8" tint="-0.249977111117893"/>
      </font>
    </dxf>
    <dxf>
      <font>
        <color rgb="FF0070C0"/>
      </font>
    </dxf>
    <dxf>
      <fill>
        <patternFill>
          <bgColor theme="8" tint="0.79998168889431442"/>
        </patternFill>
      </fill>
    </dxf>
    <dxf>
      <border>
        <left/>
        <top/>
        <bottom/>
      </border>
    </dxf>
    <dxf>
      <fill>
        <patternFill>
          <bgColor theme="0"/>
        </patternFill>
      </fill>
    </dxf>
    <dxf>
      <numFmt numFmtId="175" formatCode="#,##0.00\ &quot;€&quot;"/>
    </dxf>
    <dxf>
      <fill>
        <patternFill patternType="solid">
          <bgColor theme="4" tint="0.79998168889431442"/>
        </patternFill>
      </fill>
    </dxf>
    <dxf>
      <fill>
        <patternFill patternType="solid">
          <bgColor theme="4" tint="0.79998168889431442"/>
        </patternFill>
      </fill>
    </dxf>
    <dxf>
      <border>
        <top style="medium">
          <color indexed="64"/>
        </top>
        <bottom style="medium">
          <color indexed="64"/>
        </bottom>
      </border>
    </dxf>
    <dxf>
      <border>
        <top style="medium">
          <color indexed="64"/>
        </top>
        <bottom style="medium">
          <color indexed="64"/>
        </bottom>
      </border>
    </dxf>
    <dxf>
      <fill>
        <patternFill patternType="solid">
          <bgColor theme="4" tint="0.79998168889431442"/>
        </patternFill>
      </fill>
    </dxf>
    <dxf>
      <fill>
        <patternFill patternType="solid">
          <bgColor theme="4" tint="0.79998168889431442"/>
        </patternFill>
      </fill>
    </dxf>
    <dxf>
      <border>
        <top style="medium">
          <color indexed="64"/>
        </top>
        <bottom style="medium">
          <color indexed="64"/>
        </bottom>
      </border>
    </dxf>
    <dxf>
      <border>
        <top style="medium">
          <color indexed="64"/>
        </top>
        <bottom style="medium">
          <color indexed="64"/>
        </bottom>
      </border>
    </dxf>
    <dxf>
      <fill>
        <patternFill patternType="solid">
          <bgColor theme="4" tint="0.79998168889431442"/>
        </patternFill>
      </fill>
    </dxf>
    <dxf>
      <fill>
        <patternFill patternType="solid">
          <bgColor theme="4" tint="0.79998168889431442"/>
        </patternFill>
      </fill>
    </dxf>
    <dxf>
      <border>
        <top style="medium">
          <color indexed="64"/>
        </top>
        <bottom style="medium">
          <color indexed="64"/>
        </bottom>
      </border>
    </dxf>
    <dxf>
      <border>
        <top style="medium">
          <color indexed="64"/>
        </top>
        <bottom style="medium">
          <color indexed="64"/>
        </bottom>
      </border>
    </dxf>
    <dxf>
      <fill>
        <patternFill patternType="solid">
          <bgColor theme="4" tint="0.79998168889431442"/>
        </patternFill>
      </fill>
    </dxf>
    <dxf>
      <border>
        <top style="medium">
          <color indexed="64"/>
        </top>
        <bottom style="medium">
          <color indexed="64"/>
        </bottom>
      </border>
    </dxf>
    <dxf>
      <alignment horizontal="center"/>
    </dxf>
    <dxf>
      <numFmt numFmtId="175" formatCode="#,##0.00\ &quot;€&quot;"/>
    </dxf>
    <dxf>
      <numFmt numFmtId="175" formatCode="#,##0.00\ &quot;€&quot;"/>
    </dxf>
    <dxf>
      <numFmt numFmtId="175" formatCode="#,##0.00\ &quot;€&quot;"/>
    </dxf>
    <dxf>
      <numFmt numFmtId="175" formatCode="#,##0.00\ &quot;€&quot;"/>
    </dxf>
    <dxf>
      <numFmt numFmtId="175" formatCode="#,##0.00\ &quot;€&quot;"/>
    </dxf>
    <dxf>
      <numFmt numFmtId="175" formatCode="#,##0.00\ &quot;€&quot;"/>
    </dxf>
    <dxf>
      <numFmt numFmtId="175" formatCode="#,##0.00\ &quot;€&quot;"/>
    </dxf>
    <dxf>
      <numFmt numFmtId="175" formatCode="#,##0.00\ &quot;€&quot;"/>
    </dxf>
    <dxf>
      <numFmt numFmtId="175" formatCode="#,##0.00\ &quot;€&quo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ont>
        <b/>
      </font>
    </dxf>
    <dxf>
      <font>
        <b/>
      </font>
    </dxf>
    <dxf>
      <font>
        <color theme="0"/>
      </font>
    </dxf>
    <dxf>
      <font>
        <color theme="0"/>
      </font>
    </dxf>
    <dxf>
      <fill>
        <patternFill patternType="solid">
          <bgColor rgb="FF002060"/>
        </patternFill>
      </fill>
    </dxf>
    <dxf>
      <fill>
        <patternFill patternType="solid">
          <bgColor rgb="FF002060"/>
        </patternFill>
      </fill>
    </dxf>
    <dxf>
      <font>
        <sz val="14"/>
      </font>
    </dxf>
    <dxf>
      <font>
        <sz val="14"/>
      </font>
    </dxf>
    <dxf>
      <font>
        <sz val="12"/>
      </font>
    </dxf>
    <dxf>
      <font>
        <sz val="12"/>
      </font>
    </dxf>
    <dxf>
      <font>
        <name val="Century Gothic"/>
        <family val="2"/>
      </font>
    </dxf>
    <dxf>
      <font>
        <name val="Century Gothic"/>
        <family val="2"/>
      </font>
    </dxf>
    <dxf>
      <font>
        <name val="Century Gothic"/>
        <family val="2"/>
      </font>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font>
        <name val="Aptos"/>
        <scheme val="none"/>
      </font>
    </dxf>
    <dxf>
      <font>
        <name val="Aptos"/>
        <scheme val="none"/>
      </font>
    </dxf>
    <dxf>
      <font>
        <name val="Aptos"/>
        <scheme val="none"/>
      </font>
    </dxf>
    <dxf>
      <font>
        <sz val="12"/>
      </font>
    </dxf>
    <dxf>
      <font>
        <color theme="0"/>
      </font>
    </dxf>
    <dxf>
      <font>
        <color theme="0"/>
      </font>
    </dxf>
    <dxf>
      <fill>
        <patternFill patternType="solid">
          <bgColor rgb="FF002060"/>
        </patternFill>
      </fill>
    </dxf>
    <dxf>
      <fill>
        <patternFill patternType="solid">
          <bgColor rgb="FF002060"/>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wrapText="1"/>
    </dxf>
    <dxf>
      <alignment wrapText="1"/>
    </dxf>
    <dxf>
      <alignment wrapText="1"/>
    </dxf>
    <dxf>
      <alignment vertical="center" indent="0"/>
    </dxf>
    <dxf>
      <alignment vertical="center" indent="0"/>
    </dxf>
    <dxf>
      <alignment vertical="center" indent="0"/>
    </dxf>
    <dxf>
      <numFmt numFmtId="34" formatCode="_-* #,##0.00\ &quot;€&quot;_-;\-* #,##0.00\ &quot;€&quot;_-;_-* &quot;-&quot;??\ &quot;€&quot;_-;_-@_-"/>
    </dxf>
  </dxfs>
  <tableStyles count="0" defaultTableStyle="TableStyleMedium2" defaultPivotStyle="PivotStyleLight16"/>
  <colors>
    <mruColors>
      <color rgb="FFFFE843"/>
      <color rgb="FFFFE79B"/>
      <color rgb="FFE1CCF0"/>
      <color rgb="FFE4D2F2"/>
      <color rgb="FFECDEF6"/>
      <color rgb="FFFFA3A3"/>
      <color rgb="FFFF8181"/>
      <color rgb="FFC40000"/>
      <color rgb="FF0C1E3C"/>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ENG.xltm]Charts &amp; Hard Costs Breakdown!TablaDinámica11</c:name>
    <c:fmtId val="5"/>
  </c:pivotSource>
  <c:chart>
    <c:title>
      <c:tx>
        <c:rich>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r>
              <a: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rPr>
              <a:t>Concept</a:t>
            </a:r>
          </a:p>
        </c:rich>
      </c:tx>
      <c:layout>
        <c:manualLayout>
          <c:xMode val="edge"/>
          <c:yMode val="edge"/>
          <c:x val="3.5111111111111072E-2"/>
          <c:y val="3.1267453851489088E-2"/>
        </c:manualLayout>
      </c:layout>
      <c:overlay val="1"/>
      <c:spPr>
        <a:noFill/>
        <a:ln>
          <a:noFill/>
        </a:ln>
        <a:effectLst/>
      </c:spPr>
      <c:txPr>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endParaRPr lang="es-ES"/>
        </a:p>
      </c:txPr>
    </c:title>
    <c:autoTitleDeleted val="0"/>
    <c:pivotFmts>
      <c:pivotFmt>
        <c:idx val="0"/>
        <c:spPr>
          <a:solidFill>
            <a:schemeClr val="accent1"/>
          </a:solidFill>
          <a:ln>
            <a:noFill/>
          </a:ln>
          <a:effectLst/>
        </c:spPr>
        <c:marker>
          <c:symbol val="none"/>
        </c:marker>
        <c:dLbl>
          <c:idx val="0"/>
          <c:numFmt formatCode="#,##0\ &quot;€&quot;"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0\ &quot;€&quot;"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 &quot;€&quot;" sourceLinked="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052537182852143"/>
          <c:y val="0.18584552054782399"/>
          <c:w val="0.71451181102362205"/>
          <c:h val="0.53669028219524362"/>
        </c:manualLayout>
      </c:layout>
      <c:barChart>
        <c:barDir val="col"/>
        <c:grouping val="clustered"/>
        <c:varyColors val="0"/>
        <c:ser>
          <c:idx val="0"/>
          <c:order val="0"/>
          <c:tx>
            <c:strRef>
              <c:f>'Charts &amp; Hard Costs Breakdown'!$C$34</c:f>
              <c:strCache>
                <c:ptCount val="1"/>
                <c:pt idx="0">
                  <c:v>Total</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 &amp; Hard Costs Breakdown'!$B$35</c:f>
              <c:strCache>
                <c:ptCount val="1"/>
                <c:pt idx="0">
                  <c:v>Total</c:v>
                </c:pt>
              </c:strCache>
            </c:strRef>
          </c:cat>
          <c:val>
            <c:numRef>
              <c:f>'Charts &amp; Hard Costs Breakdown'!$C$35</c:f>
              <c:numCache>
                <c:formatCode>#,##0.00\ "€"</c:formatCode>
                <c:ptCount val="1"/>
              </c:numCache>
            </c:numRef>
          </c:val>
          <c:extLst>
            <c:ext xmlns:c16="http://schemas.microsoft.com/office/drawing/2014/chart" uri="{C3380CC4-5D6E-409C-BE32-E72D297353CC}">
              <c16:uniqueId val="{00000000-B372-43DD-B750-58B4D4504083}"/>
            </c:ext>
          </c:extLst>
        </c:ser>
        <c:dLbls>
          <c:showLegendKey val="0"/>
          <c:showVal val="1"/>
          <c:showCatName val="0"/>
          <c:showSerName val="0"/>
          <c:showPercent val="0"/>
          <c:showBubbleSize val="0"/>
        </c:dLbls>
        <c:gapWidth val="219"/>
        <c:overlap val="-27"/>
        <c:axId val="198679952"/>
        <c:axId val="198682352"/>
      </c:barChart>
      <c:catAx>
        <c:axId val="198679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lgn="ctr">
              <a:defRPr lang="en-US" sz="10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crossAx val="198682352"/>
        <c:crosses val="autoZero"/>
        <c:auto val="1"/>
        <c:lblAlgn val="ctr"/>
        <c:lblOffset val="100"/>
        <c:noMultiLvlLbl val="0"/>
      </c:catAx>
      <c:valAx>
        <c:axId val="198682352"/>
        <c:scaling>
          <c:orientation val="minMax"/>
        </c:scaling>
        <c:delete val="0"/>
        <c:axPos val="l"/>
        <c:majorGridlines>
          <c:spPr>
            <a:ln w="9525" cap="flat" cmpd="sng" algn="ctr">
              <a:solidFill>
                <a:schemeClr val="tx1">
                  <a:lumMod val="15000"/>
                  <a:lumOff val="85000"/>
                </a:schemeClr>
              </a:solidFill>
              <a:round/>
            </a:ln>
            <a:effectLst/>
          </c:spPr>
        </c:majorGridlines>
        <c:numFmt formatCode="#,##0.00\ &quot;€&quot;"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0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crossAx val="1986799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ENG.xltm]Charts &amp; Hard Costs Breakdown!TablaDinámica12</c:name>
    <c:fmtId val="3"/>
  </c:pivotSource>
  <c:chart>
    <c:title>
      <c:tx>
        <c:rich>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r>
              <a: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rPr>
              <a:t>Risk</a:t>
            </a:r>
          </a:p>
        </c:rich>
      </c:tx>
      <c:layout>
        <c:manualLayout>
          <c:xMode val="edge"/>
          <c:yMode val="edge"/>
          <c:x val="2.1862324027678341E-2"/>
          <c:y val="3.3824082147243285E-2"/>
        </c:manualLayout>
      </c:layout>
      <c:overlay val="0"/>
      <c:spPr>
        <a:noFill/>
        <a:ln>
          <a:noFill/>
        </a:ln>
        <a:effectLst/>
      </c:spPr>
      <c:txPr>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endParaRPr lang="es-ES"/>
        </a:p>
      </c:txPr>
    </c:title>
    <c:autoTitleDeleted val="0"/>
    <c:pivotFmts>
      <c:pivotFmt>
        <c:idx val="0"/>
        <c:spPr>
          <a:solidFill>
            <a:schemeClr val="accent1"/>
          </a:solidFill>
          <a:ln w="19050">
            <a:solidFill>
              <a:schemeClr val="lt1"/>
            </a:solid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40000"/>
              <a:lumOff val="60000"/>
            </a:schemeClr>
          </a:solidFill>
          <a:ln w="19050">
            <a:solidFill>
              <a:schemeClr val="lt1"/>
            </a:solidFill>
          </a:ln>
          <a:effectLst/>
        </c:spPr>
        <c:dLbl>
          <c:idx val="0"/>
          <c:layout>
            <c:manualLayout>
              <c:x val="0.16544647235876844"/>
              <c:y val="-4.2355569307864729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A3A3"/>
          </a:solidFill>
          <a:ln w="19050">
            <a:solidFill>
              <a:schemeClr val="lt1"/>
            </a:solidFill>
          </a:ln>
          <a:effectLst/>
        </c:spPr>
        <c:dLbl>
          <c:idx val="0"/>
          <c:layout>
            <c:manualLayout>
              <c:x val="-9.6896062329705421E-2"/>
              <c:y val="-0.17029471030844587"/>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lumMod val="60000"/>
              <a:lumOff val="40000"/>
            </a:schemeClr>
          </a:solidFill>
          <a:ln w="19050">
            <a:solidFill>
              <a:schemeClr val="lt1"/>
            </a:solidFill>
          </a:ln>
          <a:effectLst/>
        </c:spPr>
        <c:dLbl>
          <c:idx val="0"/>
          <c:layout>
            <c:manualLayout>
              <c:x val="-0.1711412181225456"/>
              <c:y val="-6.2391945842735635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E79B"/>
          </a:solidFill>
          <a:ln w="19050">
            <a:solidFill>
              <a:schemeClr val="lt1"/>
            </a:solidFill>
          </a:ln>
          <a:effectLst/>
        </c:spPr>
        <c:dLbl>
          <c:idx val="0"/>
          <c:layout>
            <c:manualLayout>
              <c:x val="-0.23890583211920696"/>
              <c:y val="-9.2269608989985138E-3"/>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lumMod val="40000"/>
              <a:lumOff val="60000"/>
            </a:schemeClr>
          </a:solidFill>
          <a:ln w="19050">
            <a:solidFill>
              <a:schemeClr val="lt1"/>
            </a:solidFill>
          </a:ln>
          <a:effectLst/>
        </c:spPr>
        <c:dLbl>
          <c:idx val="0"/>
          <c:layout>
            <c:manualLayout>
              <c:x val="0.16544647235876844"/>
              <c:y val="-4.2355569307864729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E79B"/>
          </a:solidFill>
          <a:ln w="19050">
            <a:solidFill>
              <a:schemeClr val="lt1"/>
            </a:solidFill>
          </a:ln>
          <a:effectLst/>
        </c:spPr>
        <c:dLbl>
          <c:idx val="0"/>
          <c:layout>
            <c:manualLayout>
              <c:x val="-0.23890583211920696"/>
              <c:y val="-9.2269608989985138E-3"/>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lumMod val="60000"/>
              <a:lumOff val="40000"/>
            </a:schemeClr>
          </a:solidFill>
          <a:ln w="19050">
            <a:solidFill>
              <a:schemeClr val="lt1"/>
            </a:solidFill>
          </a:ln>
          <a:effectLst/>
        </c:spPr>
        <c:dLbl>
          <c:idx val="0"/>
          <c:layout>
            <c:manualLayout>
              <c:x val="-0.1711412181225456"/>
              <c:y val="-6.2391945842735635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A3A3"/>
          </a:solidFill>
          <a:ln w="19050">
            <a:solidFill>
              <a:schemeClr val="lt1"/>
            </a:solidFill>
          </a:ln>
          <a:effectLst/>
        </c:spPr>
        <c:dLbl>
          <c:idx val="0"/>
          <c:layout>
            <c:manualLayout>
              <c:x val="-9.6896062329705421E-2"/>
              <c:y val="-0.17029471030844587"/>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6">
              <a:lumMod val="40000"/>
              <a:lumOff val="60000"/>
            </a:schemeClr>
          </a:solidFill>
          <a:ln w="19050">
            <a:solidFill>
              <a:schemeClr val="lt1"/>
            </a:solidFill>
          </a:ln>
          <a:effectLst/>
        </c:spPr>
        <c:dLbl>
          <c:idx val="0"/>
          <c:layout>
            <c:manualLayout>
              <c:x val="0.16544647235876844"/>
              <c:y val="-4.2355569307864729E-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E79B"/>
          </a:solidFill>
          <a:ln w="19050">
            <a:solidFill>
              <a:schemeClr val="lt1"/>
            </a:solidFill>
          </a:ln>
          <a:effectLst/>
        </c:spPr>
        <c:dLbl>
          <c:idx val="0"/>
          <c:layout>
            <c:manualLayout>
              <c:x val="-0.23890583211920696"/>
              <c:y val="-9.2269608989985138E-3"/>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2">
              <a:lumMod val="60000"/>
              <a:lumOff val="40000"/>
            </a:schemeClr>
          </a:solidFill>
          <a:ln w="19050">
            <a:solidFill>
              <a:schemeClr val="lt1"/>
            </a:solidFill>
          </a:ln>
          <a:effectLst/>
        </c:spPr>
        <c:dLbl>
          <c:idx val="0"/>
          <c:layout>
            <c:manualLayout>
              <c:x val="-0.16874882498303642"/>
              <c:y val="-7.0668826473470184E-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FFA3A3"/>
          </a:solidFill>
          <a:ln w="19050">
            <a:solidFill>
              <a:schemeClr val="lt1"/>
            </a:solidFill>
          </a:ln>
          <a:effectLst/>
        </c:spPr>
        <c:dLbl>
          <c:idx val="0"/>
          <c:layout>
            <c:manualLayout>
              <c:x val="-9.6896062329705421E-2"/>
              <c:y val="-0.17029471030844587"/>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6">
              <a:lumMod val="40000"/>
              <a:lumOff val="60000"/>
            </a:schemeClr>
          </a:solidFill>
          <a:ln w="19050">
            <a:solidFill>
              <a:schemeClr val="lt1"/>
            </a:solidFill>
          </a:ln>
          <a:effectLst/>
        </c:spPr>
        <c:dLbl>
          <c:idx val="0"/>
          <c:layout>
            <c:manualLayout>
              <c:x val="0.110215030434546"/>
              <c:y val="-0.1217419645510406"/>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4">
              <a:lumMod val="40000"/>
              <a:lumOff val="60000"/>
            </a:schemeClr>
          </a:solidFill>
          <a:ln w="19050">
            <a:solidFill>
              <a:schemeClr val="lt1"/>
            </a:solidFill>
          </a:ln>
          <a:effectLst/>
        </c:spPr>
        <c:dLbl>
          <c:idx val="0"/>
          <c:layout>
            <c:manualLayout>
              <c:x val="0.11290320190855942"/>
              <c:y val="0.16791995110488353"/>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2">
              <a:lumMod val="40000"/>
              <a:lumOff val="60000"/>
            </a:schemeClr>
          </a:solidFill>
          <a:ln w="19050">
            <a:solidFill>
              <a:schemeClr val="lt1"/>
            </a:solidFill>
          </a:ln>
          <a:effectLst/>
        </c:spPr>
        <c:dLbl>
          <c:idx val="0"/>
          <c:layout>
            <c:manualLayout>
              <c:x val="-0.10215051601250619"/>
              <c:y val="0.17631594866012756"/>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FFA3A3"/>
          </a:solidFill>
          <a:ln w="19050">
            <a:solidFill>
              <a:schemeClr val="lt1"/>
            </a:solidFill>
          </a:ln>
          <a:effectLst/>
        </c:spPr>
        <c:dLbl>
          <c:idx val="0"/>
          <c:layout>
            <c:manualLayout>
              <c:x val="-0.13978491664869266"/>
              <c:y val="-0.10075197066293015"/>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6">
              <a:lumMod val="40000"/>
              <a:lumOff val="60000"/>
            </a:schemeClr>
          </a:solidFill>
          <a:ln w="19050">
            <a:solidFill>
              <a:schemeClr val="lt1"/>
            </a:solidFill>
          </a:ln>
          <a:effectLst/>
        </c:spPr>
        <c:dLbl>
          <c:idx val="0"/>
          <c:layout>
            <c:manualLayout>
              <c:x val="0.110215030434546"/>
              <c:y val="-0.1217419645510406"/>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4884301657812677"/>
          <c:y val="2.5471220619753591E-2"/>
          <c:w val="0.61228014157023192"/>
          <c:h val="0.74847477934879125"/>
        </c:manualLayout>
      </c:layout>
      <c:doughnutChart>
        <c:varyColors val="1"/>
        <c:ser>
          <c:idx val="0"/>
          <c:order val="0"/>
          <c:tx>
            <c:strRef>
              <c:f>'Charts &amp; Hard Costs Breakdown'!$J$6</c:f>
              <c:strCache>
                <c:ptCount val="1"/>
                <c:pt idx="0">
                  <c:v>Total</c:v>
                </c:pt>
              </c:strCache>
            </c:strRef>
          </c:tx>
          <c:dPt>
            <c:idx val="0"/>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2-F93E-41F6-B93E-39BE0849928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93E-41F6-B93E-39BE0849928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4-F93E-41F6-B93E-39BE0849928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5-F93E-41F6-B93E-39BE0849928A}"/>
              </c:ext>
            </c:extLst>
          </c:dPt>
          <c:dLbls>
            <c:dLbl>
              <c:idx val="0"/>
              <c:layout>
                <c:manualLayout>
                  <c:x val="0.110215030434546"/>
                  <c:y val="-0.121741964551040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93E-41F6-B93E-39BE0849928A}"/>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'Charts &amp; Hard Costs Breakdown'!$I$7</c:f>
              <c:strCache>
                <c:ptCount val="1"/>
                <c:pt idx="0">
                  <c:v>Total</c:v>
                </c:pt>
              </c:strCache>
            </c:strRef>
          </c:cat>
          <c:val>
            <c:numRef>
              <c:f>'Charts &amp; Hard Costs Breakdown'!$J$7</c:f>
              <c:numCache>
                <c:formatCode>"€"#,##0_);\("€"#,##0\)</c:formatCode>
                <c:ptCount val="1"/>
              </c:numCache>
            </c:numRef>
          </c:val>
          <c:extLst>
            <c:ext xmlns:c16="http://schemas.microsoft.com/office/drawing/2014/chart" uri="{C3380CC4-5D6E-409C-BE32-E72D297353CC}">
              <c16:uniqueId val="{00000000-F93E-41F6-B93E-39BE0849928A}"/>
            </c:ext>
          </c:extLst>
        </c:ser>
        <c:dLbls>
          <c:showLegendKey val="0"/>
          <c:showVal val="0"/>
          <c:showCatName val="0"/>
          <c:showSerName val="0"/>
          <c:showPercent val="0"/>
          <c:showBubbleSize val="0"/>
          <c:showLeaderLines val="1"/>
        </c:dLbls>
        <c:firstSliceAng val="0"/>
        <c:holeSize val="30"/>
      </c:doughnutChart>
      <c:spPr>
        <a:noFill/>
        <a:ln>
          <a:noFill/>
        </a:ln>
        <a:effectLst/>
      </c:spPr>
    </c:plotArea>
    <c:legend>
      <c:legendPos val="r"/>
      <c:layout>
        <c:manualLayout>
          <c:xMode val="edge"/>
          <c:yMode val="edge"/>
          <c:x val="1.6444171522262824E-2"/>
          <c:y val="0.58413019886846995"/>
          <c:w val="0.32946658526144412"/>
          <c:h val="0.41586980113152999"/>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ENG.xltm]Charts &amp; Hard Costs Breakdown!TablaDinámica13</c:name>
    <c:fmtId val="2"/>
  </c:pivotSource>
  <c:chart>
    <c:title>
      <c:tx>
        <c:rich>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r>
              <a: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rPr>
              <a:t>Schedule</a:t>
            </a:r>
          </a:p>
        </c:rich>
      </c:tx>
      <c:layout>
        <c:manualLayout>
          <c:xMode val="edge"/>
          <c:yMode val="edge"/>
          <c:x val="2.1891832546623118E-2"/>
          <c:y val="3.8052092415648699E-2"/>
        </c:manualLayout>
      </c:layout>
      <c:overlay val="0"/>
      <c:spPr>
        <a:noFill/>
        <a:ln>
          <a:noFill/>
        </a:ln>
        <a:effectLst/>
      </c:spPr>
      <c:txPr>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endParaRPr lang="es-ES"/>
        </a:p>
      </c:txPr>
    </c:title>
    <c:autoTitleDeleted val="0"/>
    <c:pivotFmts>
      <c:pivotFmt>
        <c:idx val="0"/>
        <c:spPr>
          <a:solidFill>
            <a:schemeClr val="accent1"/>
          </a:solidFill>
          <a:ln w="19050">
            <a:solidFill>
              <a:schemeClr val="lt1"/>
            </a:solid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20000"/>
              <a:lumOff val="80000"/>
            </a:schemeClr>
          </a:solidFill>
          <a:ln w="19050">
            <a:solidFill>
              <a:schemeClr val="lt1"/>
            </a:solidFill>
          </a:ln>
          <a:effectLst/>
        </c:spPr>
        <c:dLbl>
          <c:idx val="0"/>
          <c:layout>
            <c:manualLayout>
              <c:x val="0.1690921321847785"/>
              <c:y val="4.8484840071175886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ECDEF6"/>
          </a:solidFill>
          <a:ln w="19050">
            <a:solidFill>
              <a:schemeClr val="lt1"/>
            </a:solidFill>
          </a:ln>
          <a:effectLst/>
        </c:spPr>
        <c:dLbl>
          <c:idx val="0"/>
          <c:layout>
            <c:manualLayout>
              <c:x val="-6.3756049840162379E-2"/>
              <c:y val="-0.1690982005835440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6">
              <a:lumMod val="40000"/>
              <a:lumOff val="60000"/>
            </a:schemeClr>
          </a:solidFill>
          <a:ln w="19050">
            <a:solidFill>
              <a:schemeClr val="lt1"/>
            </a:solidFill>
          </a:ln>
          <a:effectLst/>
        </c:spPr>
        <c:dLbl>
          <c:idx val="0"/>
          <c:layout>
            <c:manualLayout>
              <c:x val="-0.19958415602137805"/>
              <c:y val="-0.1190082101746865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5">
              <a:lumMod val="60000"/>
              <a:lumOff val="40000"/>
            </a:schemeClr>
          </a:solidFill>
          <a:ln w="19050">
            <a:solidFill>
              <a:schemeClr val="lt1"/>
            </a:solidFill>
          </a:ln>
          <a:effectLst/>
        </c:spPr>
        <c:dLbl>
          <c:idx val="0"/>
          <c:layout>
            <c:manualLayout>
              <c:x val="-0.16354812785085143"/>
              <c:y val="0.10088417497642893"/>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5">
              <a:lumMod val="50000"/>
            </a:schemeClr>
          </a:solidFill>
          <a:ln w="19050">
            <a:solidFill>
              <a:schemeClr val="lt1"/>
            </a:solidFill>
          </a:ln>
          <a:effectLst/>
        </c:spPr>
        <c:dLbl>
          <c:idx val="0"/>
          <c:layout>
            <c:manualLayout>
              <c:x val="-0.2411641885258318"/>
              <c:y val="3.6856432911841132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0.18295214301959642"/>
              <c:y val="0"/>
            </c:manualLayout>
          </c:layout>
          <c:spPr>
            <a:noFill/>
            <a:ln>
              <a:noFill/>
            </a:ln>
            <a:effectLst/>
          </c:spPr>
          <c:txPr>
            <a:bodyPr rot="0" spcFirstLastPara="1" vertOverflow="ellipsis" vert="horz" wrap="square" lIns="38100" tIns="19050" rIns="38100" bIns="19050" anchor="ctr" anchorCtr="0">
              <a:spAutoFit/>
            </a:bodyPr>
            <a:lstStyle/>
            <a:p>
              <a:pPr algn="ctr" rtl="0">
                <a:defRPr lang="en-US" sz="900" b="1" i="0" u="none" strike="noStrike" kern="1200" baseline="0">
                  <a:solidFill>
                    <a:sysClr val="windowText" lastClr="000000">
                      <a:lumMod val="75000"/>
                      <a:lumOff val="25000"/>
                    </a:sys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layout>
            <c:manualLayout>
              <c:x val="0.18295214301959642"/>
              <c:y val="0"/>
            </c:manualLayout>
          </c:layout>
          <c:spPr>
            <a:noFill/>
            <a:ln>
              <a:noFill/>
            </a:ln>
            <a:effectLst/>
          </c:spPr>
          <c:txPr>
            <a:bodyPr rot="0" spcFirstLastPara="1" vertOverflow="ellipsis" vert="horz" wrap="square" lIns="38100" tIns="19050" rIns="38100" bIns="19050" anchor="ctr" anchorCtr="0">
              <a:spAutoFit/>
            </a:bodyPr>
            <a:lstStyle/>
            <a:p>
              <a:pPr algn="ctr" rtl="0">
                <a:defRPr lang="en-US" sz="900" b="1" i="0" u="none" strike="noStrike" kern="1200" baseline="0">
                  <a:solidFill>
                    <a:sysClr val="windowText" lastClr="000000">
                      <a:lumMod val="75000"/>
                      <a:lumOff val="25000"/>
                    </a:sys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5">
              <a:lumMod val="60000"/>
              <a:lumOff val="40000"/>
            </a:schemeClr>
          </a:solidFill>
          <a:ln w="19050">
            <a:solidFill>
              <a:schemeClr val="lt1"/>
            </a:solidFill>
          </a:ln>
          <a:effectLst/>
        </c:spPr>
        <c:dLbl>
          <c:idx val="0"/>
          <c:layout>
            <c:manualLayout>
              <c:x val="-0.16354812785085143"/>
              <c:y val="0.10088417497642893"/>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5">
              <a:lumMod val="50000"/>
            </a:schemeClr>
          </a:solidFill>
          <a:ln w="19050">
            <a:solidFill>
              <a:schemeClr val="lt1"/>
            </a:solidFill>
          </a:ln>
          <a:effectLst/>
        </c:spPr>
        <c:dLbl>
          <c:idx val="0"/>
          <c:layout>
            <c:manualLayout>
              <c:x val="-0.2411641885258318"/>
              <c:y val="3.6856432911841132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6">
              <a:lumMod val="40000"/>
              <a:lumOff val="60000"/>
            </a:schemeClr>
          </a:solidFill>
          <a:ln w="19050">
            <a:solidFill>
              <a:schemeClr val="lt1"/>
            </a:solidFill>
          </a:ln>
          <a:effectLst/>
        </c:spPr>
        <c:dLbl>
          <c:idx val="0"/>
          <c:layout>
            <c:manualLayout>
              <c:x val="-0.19958415602137805"/>
              <c:y val="-0.1190082101746865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ECDEF6"/>
          </a:solidFill>
          <a:ln w="19050">
            <a:solidFill>
              <a:schemeClr val="lt1"/>
            </a:solidFill>
          </a:ln>
          <a:effectLst/>
        </c:spPr>
        <c:dLbl>
          <c:idx val="0"/>
          <c:layout>
            <c:manualLayout>
              <c:x val="-6.3756049840162379E-2"/>
              <c:y val="-0.1690982005835440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dLbl>
          <c:idx val="0"/>
          <c:layout>
            <c:manualLayout>
              <c:x val="0.18295214301959642"/>
              <c:y val="0"/>
            </c:manualLayout>
          </c:layout>
          <c:spPr>
            <a:noFill/>
            <a:ln>
              <a:noFill/>
            </a:ln>
            <a:effectLst/>
          </c:spPr>
          <c:txPr>
            <a:bodyPr rot="0" spcFirstLastPara="1" vertOverflow="ellipsis" vert="horz" wrap="square" lIns="38100" tIns="19050" rIns="38100" bIns="19050" anchor="ctr" anchorCtr="0">
              <a:spAutoFit/>
            </a:bodyPr>
            <a:lstStyle/>
            <a:p>
              <a:pPr algn="ctr" rtl="0">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5">
              <a:lumMod val="60000"/>
              <a:lumOff val="40000"/>
            </a:schemeClr>
          </a:solidFill>
          <a:ln w="19050">
            <a:solidFill>
              <a:schemeClr val="lt1"/>
            </a:solidFill>
          </a:ln>
          <a:effectLst/>
        </c:spPr>
        <c:dLbl>
          <c:idx val="0"/>
          <c:layout>
            <c:manualLayout>
              <c:x val="-0.15636617052195012"/>
              <c:y val="0.1041256269222425"/>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5">
              <a:lumMod val="50000"/>
            </a:schemeClr>
          </a:solidFill>
          <a:ln w="3175">
            <a:solidFill>
              <a:schemeClr val="lt1"/>
            </a:solidFill>
          </a:ln>
          <a:effectLst/>
        </c:spPr>
        <c:dLbl>
          <c:idx val="0"/>
          <c:layout>
            <c:manualLayout>
              <c:x val="-0.2411641885258318"/>
              <c:y val="3.6856432911841132E-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6">
              <a:lumMod val="40000"/>
              <a:lumOff val="60000"/>
            </a:schemeClr>
          </a:solidFill>
          <a:ln w="19050">
            <a:solidFill>
              <a:schemeClr val="lt1"/>
            </a:solidFill>
          </a:ln>
          <a:effectLst/>
        </c:spPr>
        <c:dLbl>
          <c:idx val="0"/>
          <c:layout>
            <c:manualLayout>
              <c:x val="-0.19958415602137805"/>
              <c:y val="-0.1190082101746865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ECDEF6"/>
          </a:solidFill>
          <a:ln w="19050">
            <a:solidFill>
              <a:schemeClr val="lt1"/>
            </a:solidFill>
          </a:ln>
          <a:effectLst/>
        </c:spPr>
        <c:dLbl>
          <c:idx val="0"/>
          <c:layout>
            <c:manualLayout>
              <c:x val="-6.3756049840162379E-2"/>
              <c:y val="-0.1690982005835440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rgbClr val="E4D2F2"/>
          </a:solidFill>
          <a:ln w="19050">
            <a:solidFill>
              <a:schemeClr val="lt1"/>
            </a:solidFill>
          </a:ln>
          <a:effectLst/>
        </c:spPr>
        <c:dLbl>
          <c:idx val="0"/>
          <c:layout>
            <c:manualLayout>
              <c:x val="0.12521994713186985"/>
              <c:y val="-9.5867768595041342E-2"/>
            </c:manualLayout>
          </c:layout>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5">
              <a:lumMod val="60000"/>
              <a:lumOff val="40000"/>
            </a:schemeClr>
          </a:solidFill>
          <a:ln w="19050">
            <a:solidFill>
              <a:schemeClr val="lt1"/>
            </a:solidFill>
          </a:ln>
          <a:effectLst/>
        </c:spPr>
        <c:dLbl>
          <c:idx val="0"/>
          <c:layout>
            <c:manualLayout>
              <c:x val="0.12316716111331476"/>
              <c:y val="9.9173553719008271E-3"/>
            </c:manualLayout>
          </c:layout>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5">
              <a:lumMod val="50000"/>
            </a:schemeClr>
          </a:solidFill>
          <a:ln w="19050">
            <a:solidFill>
              <a:schemeClr val="lt1"/>
            </a:solidFill>
          </a:ln>
          <a:effectLst/>
        </c:spPr>
        <c:dLbl>
          <c:idx val="0"/>
          <c:layout>
            <c:manualLayout>
              <c:x val="8.4164226760765085E-2"/>
              <c:y val="0.16528925619834697"/>
            </c:manualLayout>
          </c:layout>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8"/>
        <c:spPr>
          <a:solidFill>
            <a:srgbClr val="ECDEF6"/>
          </a:solidFill>
          <a:ln w="19050">
            <a:solidFill>
              <a:schemeClr val="lt1"/>
            </a:solidFill>
          </a:ln>
          <a:effectLst/>
        </c:spPr>
        <c:dLbl>
          <c:idx val="0"/>
          <c:layout>
            <c:manualLayout>
              <c:x val="-9.0322584816430823E-2"/>
              <c:y val="0.17851239669421487"/>
            </c:manualLayout>
          </c:layout>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6">
              <a:lumMod val="40000"/>
              <a:lumOff val="60000"/>
            </a:schemeClr>
          </a:solidFill>
          <a:ln w="19050">
            <a:solidFill>
              <a:schemeClr val="lt1"/>
            </a:solidFill>
          </a:ln>
          <a:effectLst/>
        </c:spPr>
        <c:dLbl>
          <c:idx val="0"/>
          <c:layout>
            <c:manualLayout>
              <c:x val="-0.11290323102053852"/>
              <c:y val="-0.11239669421487605"/>
            </c:manualLayout>
          </c:layout>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5">
              <a:lumMod val="20000"/>
              <a:lumOff val="80000"/>
            </a:schemeClr>
          </a:solidFill>
          <a:ln w="19050">
            <a:solidFill>
              <a:schemeClr val="lt1"/>
            </a:solidFill>
          </a:ln>
          <a:effectLst/>
        </c:spPr>
      </c:pivotFmt>
      <c:pivotFmt>
        <c:idx val="3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5">
              <a:lumMod val="20000"/>
              <a:lumOff val="80000"/>
            </a:schemeClr>
          </a:solidFill>
          <a:ln w="19050">
            <a:solidFill>
              <a:schemeClr val="lt1"/>
            </a:solidFill>
          </a:ln>
          <a:effectLst/>
        </c:spPr>
        <c:dLbl>
          <c:idx val="0"/>
          <c:layout>
            <c:manualLayout>
              <c:x val="0.10397878201254793"/>
              <c:y val="-0.1037037271177476"/>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5">
              <a:lumMod val="60000"/>
              <a:lumOff val="40000"/>
            </a:schemeClr>
          </a:solidFill>
          <a:ln w="19050">
            <a:solidFill>
              <a:schemeClr val="lt1"/>
            </a:solidFill>
          </a:ln>
          <a:effectLst/>
        </c:spPr>
        <c:dLbl>
          <c:idx val="0"/>
          <c:layout>
            <c:manualLayout>
              <c:x val="0.13183024148019468"/>
              <c:y val="3.3452815199273477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57"/>
        <c:spPr>
          <a:solidFill>
            <a:schemeClr val="accent5">
              <a:lumMod val="50000"/>
            </a:schemeClr>
          </a:solidFill>
          <a:ln w="19050">
            <a:solidFill>
              <a:schemeClr val="lt1"/>
            </a:solidFill>
          </a:ln>
          <a:effectLst/>
        </c:spPr>
        <c:dLbl>
          <c:idx val="0"/>
          <c:layout>
            <c:manualLayout>
              <c:x val="9.2838198225489083E-2"/>
              <c:y val="0.15053766839673036"/>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6">
              <a:lumMod val="40000"/>
              <a:lumOff val="60000"/>
            </a:schemeClr>
          </a:solidFill>
          <a:ln w="19050">
            <a:solidFill>
              <a:schemeClr val="lt1"/>
            </a:solidFill>
          </a:ln>
          <a:effectLst/>
        </c:spPr>
        <c:dLbl>
          <c:idx val="0"/>
          <c:layout>
            <c:manualLayout>
              <c:x val="-0.10954907390607728"/>
              <c:y val="0.11373957167752961"/>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59"/>
        <c:spPr>
          <a:solidFill>
            <a:srgbClr val="E4D2F2"/>
          </a:solidFill>
          <a:ln w="19050">
            <a:solidFill>
              <a:schemeClr val="lt1"/>
            </a:solidFill>
          </a:ln>
          <a:effectLst/>
        </c:spPr>
        <c:dLbl>
          <c:idx val="0"/>
          <c:layout>
            <c:manualLayout>
              <c:x val="-0.12068965769313601"/>
              <c:y val="-9.7013164077892941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6986906401741145"/>
          <c:y val="5.9141933992835842E-2"/>
          <c:w val="0.47868854176534192"/>
          <c:h val="0.73344458676262558"/>
        </c:manualLayout>
      </c:layout>
      <c:doughnutChart>
        <c:varyColors val="1"/>
        <c:ser>
          <c:idx val="0"/>
          <c:order val="0"/>
          <c:tx>
            <c:strRef>
              <c:f>'Charts &amp; Hard Costs Breakdown'!$J$34</c:f>
              <c:strCache>
                <c:ptCount val="1"/>
                <c:pt idx="0">
                  <c:v>Total</c:v>
                </c:pt>
              </c:strCache>
            </c:strRef>
          </c:tx>
          <c:dPt>
            <c:idx val="0"/>
            <c:bubble3D val="0"/>
            <c:spPr>
              <a:solidFill>
                <a:schemeClr val="accent5">
                  <a:lumMod val="20000"/>
                  <a:lumOff val="80000"/>
                </a:schemeClr>
              </a:solidFill>
              <a:ln w="19050">
                <a:solidFill>
                  <a:schemeClr val="lt1"/>
                </a:solidFill>
              </a:ln>
              <a:effectLst/>
            </c:spPr>
            <c:extLst>
              <c:ext xmlns:c16="http://schemas.microsoft.com/office/drawing/2014/chart" uri="{C3380CC4-5D6E-409C-BE32-E72D297353CC}">
                <c16:uniqueId val="{00000014-0252-4BF6-8E81-438F8D700DB1}"/>
              </c:ext>
            </c:extLst>
          </c:dPt>
          <c:dPt>
            <c:idx val="1"/>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15-0252-4BF6-8E81-438F8D700DB1}"/>
              </c:ext>
            </c:extLst>
          </c:dPt>
          <c:dPt>
            <c:idx val="2"/>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16-0252-4BF6-8E81-438F8D700DB1}"/>
              </c:ext>
            </c:extLst>
          </c:dPt>
          <c:dPt>
            <c:idx val="3"/>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17-0252-4BF6-8E81-438F8D700DB1}"/>
              </c:ext>
            </c:extLst>
          </c:dPt>
          <c:dPt>
            <c:idx val="4"/>
            <c:bubble3D val="0"/>
            <c:spPr>
              <a:solidFill>
                <a:srgbClr val="E4D2F2"/>
              </a:solidFill>
              <a:ln w="19050">
                <a:solidFill>
                  <a:schemeClr val="lt1"/>
                </a:solidFill>
              </a:ln>
              <a:effectLst/>
            </c:spPr>
            <c:extLst>
              <c:ext xmlns:c16="http://schemas.microsoft.com/office/drawing/2014/chart" uri="{C3380CC4-5D6E-409C-BE32-E72D297353CC}">
                <c16:uniqueId val="{00000018-0252-4BF6-8E81-438F8D700DB1}"/>
              </c:ext>
            </c:extLst>
          </c:dPt>
          <c:dLbls>
            <c:dLbl>
              <c:idx val="0"/>
              <c:layout>
                <c:manualLayout>
                  <c:x val="0.10397878201254793"/>
                  <c:y val="-0.103703727117747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0252-4BF6-8E81-438F8D700DB1}"/>
                </c:ext>
              </c:extLst>
            </c:dLbl>
            <c:dLbl>
              <c:idx val="1"/>
              <c:layout>
                <c:manualLayout>
                  <c:x val="0.13183024148019468"/>
                  <c:y val="3.345281519927347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0252-4BF6-8E81-438F8D700DB1}"/>
                </c:ext>
              </c:extLst>
            </c:dLbl>
            <c:dLbl>
              <c:idx val="2"/>
              <c:layout>
                <c:manualLayout>
                  <c:x val="9.2838198225489083E-2"/>
                  <c:y val="0.1505376683967303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0252-4BF6-8E81-438F8D700DB1}"/>
                </c:ext>
              </c:extLst>
            </c:dLbl>
            <c:dLbl>
              <c:idx val="3"/>
              <c:layout>
                <c:manualLayout>
                  <c:x val="-0.10954907390607728"/>
                  <c:y val="0.1137395716775296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0252-4BF6-8E81-438F8D700DB1}"/>
                </c:ext>
              </c:extLst>
            </c:dLbl>
            <c:dLbl>
              <c:idx val="4"/>
              <c:layout>
                <c:manualLayout>
                  <c:x val="-0.12068965769313601"/>
                  <c:y val="-9.701316407789294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8-0252-4BF6-8E81-438F8D700DB1}"/>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'Charts &amp; Hard Costs Breakdown'!$I$35:$I$39</c:f>
              <c:strCache>
                <c:ptCount val="5"/>
                <c:pt idx="0">
                  <c:v>SHORT TERM</c:v>
                </c:pt>
                <c:pt idx="1">
                  <c:v>MEDIUM TERM</c:v>
                </c:pt>
                <c:pt idx="2">
                  <c:v>LONG TERM</c:v>
                </c:pt>
                <c:pt idx="3">
                  <c:v> IMPROVEMENTS</c:v>
                </c:pt>
                <c:pt idx="4">
                  <c:v> OTHER</c:v>
                </c:pt>
              </c:strCache>
            </c:strRef>
          </c:cat>
          <c:val>
            <c:numRef>
              <c:f>'Charts &amp; Hard Costs Breakdown'!$J$35:$J$39</c:f>
              <c:numCache>
                <c:formatCode>"€"#,##0_);\("€"#,##0\)</c:formatCode>
                <c:ptCount val="5"/>
              </c:numCache>
            </c:numRef>
          </c:val>
          <c:extLst>
            <c:ext xmlns:c16="http://schemas.microsoft.com/office/drawing/2014/chart" uri="{C3380CC4-5D6E-409C-BE32-E72D297353CC}">
              <c16:uniqueId val="{0000000F-0252-4BF6-8E81-438F8D700DB1}"/>
            </c:ext>
          </c:extLst>
        </c:ser>
        <c:dLbls>
          <c:showLegendKey val="0"/>
          <c:showVal val="0"/>
          <c:showCatName val="0"/>
          <c:showSerName val="0"/>
          <c:showPercent val="0"/>
          <c:showBubbleSize val="0"/>
          <c:showLeaderLines val="1"/>
        </c:dLbls>
        <c:firstSliceAng val="0"/>
        <c:holeSize val="30"/>
      </c:doughnutChart>
      <c:spPr>
        <a:noFill/>
        <a:ln>
          <a:noFill/>
        </a:ln>
        <a:effectLst/>
      </c:spPr>
    </c:plotArea>
    <c:legend>
      <c:legendPos val="r"/>
      <c:layout>
        <c:manualLayout>
          <c:xMode val="edge"/>
          <c:yMode val="edge"/>
          <c:x val="1.6636780213275977E-3"/>
          <c:y val="0.88603050316445098"/>
          <c:w val="0.98883588585522164"/>
          <c:h val="0.1139694968355489"/>
        </c:manualLayout>
      </c:layout>
      <c:overlay val="0"/>
      <c:spPr>
        <a:noFill/>
        <a:ln>
          <a:noFill/>
        </a:ln>
        <a:effectLst/>
      </c:spPr>
      <c:txPr>
        <a:bodyPr rot="0" spcFirstLastPara="1" vertOverflow="ellipsis" vert="horz" wrap="square" anchor="ctr" anchorCtr="1"/>
        <a:lstStyle/>
        <a:p>
          <a:pPr algn="ctr">
            <a:defRPr lang="en-US" sz="12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ENG.xltm]Charts &amp; Hard Costs Breakdown!TablaDinámica10</c:name>
    <c:fmtId val="14"/>
  </c:pivotSource>
  <c:chart>
    <c:title>
      <c:tx>
        <c:rich>
          <a:bodyPr rot="0" spcFirstLastPara="1" vertOverflow="ellipsis" vert="horz" wrap="square" anchor="ctr" anchorCtr="1"/>
          <a:lstStyle/>
          <a:p>
            <a:pPr>
              <a:defRPr sz="1400" b="1" i="1" u="none" strike="noStrike" kern="1200" spc="0" baseline="0">
                <a:solidFill>
                  <a:schemeClr val="tx1">
                    <a:lumMod val="65000"/>
                    <a:lumOff val="35000"/>
                  </a:schemeClr>
                </a:solidFill>
                <a:latin typeface="Century Gothic" panose="020B0502020202020204" pitchFamily="34" charset="0"/>
                <a:ea typeface="+mn-ea"/>
                <a:cs typeface="+mn-cs"/>
              </a:defRPr>
            </a:pPr>
            <a:r>
              <a:rPr lang="es-ES" b="1" i="1">
                <a:latin typeface="Century Gothic" panose="020B0502020202020204" pitchFamily="34" charset="0"/>
              </a:rPr>
              <a:t>Schedule</a:t>
            </a:r>
            <a:r>
              <a:rPr lang="es-ES" b="1" i="1" baseline="0">
                <a:latin typeface="Century Gothic" panose="020B0502020202020204" pitchFamily="34" charset="0"/>
              </a:rPr>
              <a:t> / Risk</a:t>
            </a:r>
            <a:endParaRPr lang="es-ES" b="1" i="1">
              <a:latin typeface="Century Gothic" panose="020B0502020202020204" pitchFamily="34" charset="0"/>
            </a:endParaRPr>
          </a:p>
        </c:rich>
      </c:tx>
      <c:layout>
        <c:manualLayout>
          <c:xMode val="edge"/>
          <c:yMode val="edge"/>
          <c:x val="1.4742538947800296E-2"/>
          <c:y val="1.3442032955861971E-2"/>
        </c:manualLayout>
      </c:layout>
      <c:overlay val="0"/>
      <c:spPr>
        <a:noFill/>
        <a:ln>
          <a:noFill/>
        </a:ln>
        <a:effectLst/>
      </c:spPr>
      <c:txPr>
        <a:bodyPr rot="0" spcFirstLastPara="1" vertOverflow="ellipsis" vert="horz" wrap="square" anchor="ctr" anchorCtr="1"/>
        <a:lstStyle/>
        <a:p>
          <a:pPr>
            <a:defRPr sz="1400" b="1" i="1" u="none" strike="noStrike" kern="1200" spc="0" baseline="0">
              <a:solidFill>
                <a:schemeClr val="tx1">
                  <a:lumMod val="65000"/>
                  <a:lumOff val="35000"/>
                </a:schemeClr>
              </a:solidFill>
              <a:latin typeface="Century Gothic" panose="020B0502020202020204" pitchFamily="34" charset="0"/>
              <a:ea typeface="+mn-ea"/>
              <a:cs typeface="+mn-cs"/>
            </a:defRPr>
          </a:pPr>
          <a:endParaRPr lang="es-ES"/>
        </a:p>
      </c:txPr>
    </c:title>
    <c:autoTitleDeleted val="0"/>
    <c:pivotFmts>
      <c:pivotFmt>
        <c:idx val="0"/>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E79B"/>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lumMod val="60000"/>
              <a:lumOff val="40000"/>
            </a:schemeClr>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A3A3"/>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FE79B"/>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2">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A3A3"/>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FFE79B"/>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2">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FFA3A3"/>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FFE79B"/>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2">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FFA3A3"/>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4">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2">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3"/>
        <c:spPr>
          <a:solidFill>
            <a:srgbClr val="FFA3A3"/>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bg1">
              <a:lumMod val="50000"/>
            </a:schemeClr>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749163010191854"/>
          <c:y val="0.19601910342229878"/>
          <c:w val="0.86579502645172213"/>
          <c:h val="0.41973325708328507"/>
        </c:manualLayout>
      </c:layout>
      <c:barChart>
        <c:barDir val="col"/>
        <c:grouping val="clustered"/>
        <c:varyColors val="0"/>
        <c:ser>
          <c:idx val="0"/>
          <c:order val="0"/>
          <c:tx>
            <c:strRef>
              <c:f>'Charts &amp; Hard Costs Breakdown'!$C$5:$C$6</c:f>
              <c:strCache>
                <c:ptCount val="1"/>
                <c:pt idx="0">
                  <c:v>TOTAL </c:v>
                </c:pt>
              </c:strCache>
            </c:strRef>
          </c:tx>
          <c:spPr>
            <a:solidFill>
              <a:schemeClr val="accent6">
                <a:lumMod val="40000"/>
                <a:lumOff val="60000"/>
              </a:schemeClr>
            </a:solidFill>
            <a:ln>
              <a:noFill/>
            </a:ln>
            <a:effectLst/>
          </c:spPr>
          <c:invertIfNegative val="0"/>
          <c:dLbls>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 &amp; Hard Costs Breakdown'!$B$7:$B$12</c:f>
              <c:strCache>
                <c:ptCount val="6"/>
                <c:pt idx="0">
                  <c:v> SHORT TERM
(0-2 YEARS)</c:v>
                </c:pt>
                <c:pt idx="1">
                  <c:v> MEDIUM TERM
(3-5 YEARS)</c:v>
                </c:pt>
                <c:pt idx="2">
                  <c:v> LONG TERM
(6-10 YEARS)</c:v>
                </c:pt>
                <c:pt idx="3">
                  <c:v> IMPROVEMENTS</c:v>
                </c:pt>
                <c:pt idx="4">
                  <c:v> OTHER</c:v>
                </c:pt>
                <c:pt idx="5">
                  <c:v> TOTAL</c:v>
                </c:pt>
              </c:strCache>
            </c:strRef>
          </c:cat>
          <c:val>
            <c:numRef>
              <c:f>'Charts &amp; Hard Costs Breakdown'!$C$7:$C$12</c:f>
              <c:numCache>
                <c:formatCode>"€"#,##0_);\("€"#,##0\)</c:formatCode>
                <c:ptCount val="6"/>
              </c:numCache>
            </c:numRef>
          </c:val>
          <c:extLst>
            <c:ext xmlns:c16="http://schemas.microsoft.com/office/drawing/2014/chart" uri="{C3380CC4-5D6E-409C-BE32-E72D297353CC}">
              <c16:uniqueId val="{00000002-5387-4415-89FA-5A35C0C0354A}"/>
            </c:ext>
          </c:extLst>
        </c:ser>
        <c:dLbls>
          <c:showLegendKey val="0"/>
          <c:showVal val="0"/>
          <c:showCatName val="0"/>
          <c:showSerName val="0"/>
          <c:showPercent val="0"/>
          <c:showBubbleSize val="0"/>
        </c:dLbls>
        <c:gapWidth val="219"/>
        <c:overlap val="-27"/>
        <c:axId val="33893616"/>
        <c:axId val="33872016"/>
      </c:barChart>
      <c:catAx>
        <c:axId val="33893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crossAx val="33872016"/>
        <c:crosses val="autoZero"/>
        <c:auto val="1"/>
        <c:lblAlgn val="ctr"/>
        <c:lblOffset val="100"/>
        <c:noMultiLvlLbl val="0"/>
      </c:catAx>
      <c:valAx>
        <c:axId val="3387201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quot;€&quot;#,##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crossAx val="33893616"/>
        <c:crosses val="autoZero"/>
        <c:crossBetween val="between"/>
      </c:valAx>
      <c:spPr>
        <a:noFill/>
        <a:ln>
          <a:noFill/>
        </a:ln>
        <a:effectLst/>
      </c:spPr>
    </c:plotArea>
    <c:legend>
      <c:legendPos val="r"/>
      <c:layout>
        <c:manualLayout>
          <c:xMode val="edge"/>
          <c:yMode val="edge"/>
          <c:x val="0.11671054399178576"/>
          <c:y val="0.87211060999810497"/>
          <c:w val="0.80303581375051403"/>
          <c:h val="0.12788939000189484"/>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ENG.xltm]Charts &amp; Hard Costs Breakdown!TablaDinámica14</c:name>
    <c:fmtId val="2"/>
  </c:pivotSource>
  <c:chart>
    <c:title>
      <c:tx>
        <c:rich>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r>
              <a: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rPr>
              <a:t>Tenant</a:t>
            </a:r>
          </a:p>
        </c:rich>
      </c:tx>
      <c:layout>
        <c:manualLayout>
          <c:xMode val="edge"/>
          <c:yMode val="edge"/>
          <c:x val="2.1321513132536791E-2"/>
          <c:y val="3.1370041575008979E-2"/>
        </c:manualLayout>
      </c:layout>
      <c:overlay val="0"/>
      <c:spPr>
        <a:noFill/>
        <a:ln>
          <a:noFill/>
        </a:ln>
        <a:effectLst/>
      </c:spPr>
      <c:txPr>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endParaRPr lang="es-E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extLst>
        </c:dLbl>
      </c:pivotFmt>
      <c:pivotFmt>
        <c:idx val="1"/>
        <c:spPr>
          <a:solidFill>
            <a:srgbClr val="C00000"/>
          </a:solidFill>
          <a:ln w="19050">
            <a:solidFill>
              <a:schemeClr val="lt1"/>
            </a:solidFill>
          </a:ln>
          <a:effectLst/>
        </c:spPr>
        <c:dLbl>
          <c:idx val="0"/>
          <c:layout>
            <c:manualLayout>
              <c:x val="0.3444693141595665"/>
              <c:y val="5.4406696806381716E-2"/>
            </c:manualLayout>
          </c:layout>
          <c:spPr>
            <a:noFill/>
            <a:ln>
              <a:noFill/>
            </a:ln>
            <a:effectLst/>
          </c:spPr>
          <c:txPr>
            <a:bodyPr rot="0" spcFirstLastPara="1" vertOverflow="ellipsis" vert="horz" wrap="square" lIns="38100" tIns="19050" rIns="38100" bIns="19050" anchor="ctr" anchorCtr="0">
              <a:noAutofit/>
            </a:bodyPr>
            <a:lstStyle/>
            <a:p>
              <a:pPr algn="l">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7808333333333335"/>
                  <c:h val="6.9375182268883062E-2"/>
                </c:manualLayout>
              </c15:layout>
            </c:ext>
          </c:extLst>
        </c:dLbl>
      </c:pivotFmt>
      <c:pivotFmt>
        <c:idx val="2"/>
        <c:spPr>
          <a:solidFill>
            <a:schemeClr val="bg1">
              <a:lumMod val="85000"/>
            </a:schemeClr>
          </a:solidFill>
          <a:ln w="19050">
            <a:solidFill>
              <a:schemeClr val="lt1"/>
            </a:solidFill>
          </a:ln>
          <a:effectLst/>
        </c:spPr>
        <c:dLbl>
          <c:idx val="0"/>
          <c:layout>
            <c:manualLayout>
              <c:x val="-0.24147539367315318"/>
              <c:y val="1.6203561114851855E-2"/>
            </c:manualLayout>
          </c:layout>
          <c:spPr>
            <a:noFill/>
            <a:ln>
              <a:noFill/>
            </a:ln>
            <a:effectLst/>
          </c:spPr>
          <c:txPr>
            <a:bodyPr rot="0" spcFirstLastPara="1" vertOverflow="ellipsis" vert="horz" wrap="square" lIns="38100" tIns="19050" rIns="38100" bIns="19050" anchor="ctr" anchorCtr="0">
              <a:noAutofit/>
            </a:bodyPr>
            <a:lstStyle/>
            <a:p>
              <a:pPr algn="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331111111111111"/>
                  <c:h val="6.9375182268883062E-2"/>
                </c:manualLayout>
              </c15:layout>
            </c:ext>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extLst>
        </c:dLbl>
      </c:pivotFmt>
      <c:pivotFmt>
        <c:idx val="4"/>
        <c:spPr>
          <a:solidFill>
            <a:srgbClr val="C00000"/>
          </a:solidFill>
          <a:ln w="19050">
            <a:solidFill>
              <a:schemeClr val="lt1"/>
            </a:solidFill>
          </a:ln>
          <a:effectLst/>
        </c:spPr>
        <c:dLbl>
          <c:idx val="0"/>
          <c:layout>
            <c:manualLayout>
              <c:x val="0.3444693141595665"/>
              <c:y val="5.4406696806381716E-2"/>
            </c:manualLayout>
          </c:layout>
          <c:spPr>
            <a:noFill/>
            <a:ln>
              <a:noFill/>
            </a:ln>
            <a:effectLst/>
          </c:spPr>
          <c:txPr>
            <a:bodyPr rot="0" spcFirstLastPara="1" vertOverflow="ellipsis" vert="horz" wrap="square" lIns="38100" tIns="19050" rIns="38100" bIns="19050" anchor="ctr" anchorCtr="0">
              <a:noAutofit/>
            </a:bodyPr>
            <a:lstStyle/>
            <a:p>
              <a:pPr algn="l">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7808333333333335"/>
                  <c:h val="6.9375182268883062E-2"/>
                </c:manualLayout>
              </c15:layout>
            </c:ext>
          </c:extLst>
        </c:dLbl>
      </c:pivotFmt>
      <c:pivotFmt>
        <c:idx val="5"/>
        <c:spPr>
          <a:solidFill>
            <a:schemeClr val="bg1">
              <a:lumMod val="85000"/>
            </a:schemeClr>
          </a:solidFill>
          <a:ln w="19050">
            <a:solidFill>
              <a:schemeClr val="lt1"/>
            </a:solidFill>
          </a:ln>
          <a:effectLst/>
        </c:spPr>
        <c:dLbl>
          <c:idx val="0"/>
          <c:layout>
            <c:manualLayout>
              <c:x val="-0.24147539367315318"/>
              <c:y val="1.6203561114851855E-2"/>
            </c:manualLayout>
          </c:layout>
          <c:spPr>
            <a:noFill/>
            <a:ln>
              <a:noFill/>
            </a:ln>
            <a:effectLst/>
          </c:spPr>
          <c:txPr>
            <a:bodyPr rot="0" spcFirstLastPara="1" vertOverflow="ellipsis" vert="horz" wrap="square" lIns="38100" tIns="19050" rIns="38100" bIns="19050" anchor="ctr" anchorCtr="0">
              <a:noAutofit/>
            </a:bodyPr>
            <a:lstStyle/>
            <a:p>
              <a:pPr algn="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331111111111111"/>
                  <c:h val="6.9375182268883062E-2"/>
                </c:manualLayout>
              </c15:layout>
            </c:ext>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extLst>
        </c:dLbl>
      </c:pivotFmt>
      <c:pivotFmt>
        <c:idx val="7"/>
        <c:spPr>
          <a:solidFill>
            <a:srgbClr val="C00000"/>
          </a:solidFill>
          <a:ln w="19050">
            <a:solidFill>
              <a:schemeClr val="lt1"/>
            </a:solidFill>
          </a:ln>
          <a:effectLst/>
        </c:spPr>
        <c:dLbl>
          <c:idx val="0"/>
          <c:layout>
            <c:manualLayout>
              <c:x val="0.3444693141595665"/>
              <c:y val="5.4406696806381716E-2"/>
            </c:manualLayout>
          </c:layout>
          <c:spPr>
            <a:noFill/>
            <a:ln>
              <a:noFill/>
            </a:ln>
            <a:effectLst/>
          </c:spPr>
          <c:txPr>
            <a:bodyPr rot="0" spcFirstLastPara="1" vertOverflow="ellipsis" vert="horz" wrap="square" lIns="38100" tIns="19050" rIns="38100" bIns="19050" anchor="ctr" anchorCtr="0">
              <a:no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7808333333333335"/>
                  <c:h val="6.9375182268883062E-2"/>
                </c:manualLayout>
              </c15:layout>
            </c:ext>
          </c:extLst>
        </c:dLbl>
      </c:pivotFmt>
      <c:pivotFmt>
        <c:idx val="8"/>
        <c:spPr>
          <a:solidFill>
            <a:schemeClr val="bg1">
              <a:lumMod val="85000"/>
            </a:schemeClr>
          </a:solidFill>
          <a:ln w="19050">
            <a:solidFill>
              <a:schemeClr val="lt1"/>
            </a:solidFill>
          </a:ln>
          <a:effectLst/>
        </c:spPr>
        <c:dLbl>
          <c:idx val="0"/>
          <c:layout>
            <c:manualLayout>
              <c:x val="-0.14538573662212526"/>
              <c:y val="0.14370079662506213"/>
            </c:manualLayout>
          </c:layout>
          <c:spPr>
            <a:noFill/>
            <a:ln>
              <a:noFill/>
            </a:ln>
            <a:effectLst/>
          </c:spPr>
          <c:txPr>
            <a:bodyPr rot="0" spcFirstLastPara="1" vertOverflow="ellipsis" vert="horz" wrap="square" lIns="38100" tIns="19050" rIns="38100" bIns="19050" anchor="ctr" anchorCtr="0">
              <a:no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37868178768958233"/>
                  <c:h val="6.1149695231149562E-2"/>
                </c:manualLayout>
              </c15:layout>
            </c:ext>
          </c:extLst>
        </c:dLbl>
      </c:pivotFmt>
      <c:pivotFmt>
        <c:idx val="9"/>
        <c:spPr>
          <a:solidFill>
            <a:srgbClr val="FF818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bg1">
              <a:lumMod val="85000"/>
            </a:schemeClr>
          </a:solidFill>
          <a:ln w="19050">
            <a:solidFill>
              <a:schemeClr val="lt1"/>
            </a:solidFill>
          </a:ln>
          <a:effectLst/>
        </c:spPr>
        <c:dLbl>
          <c:idx val="0"/>
          <c:layout>
            <c:manualLayout>
              <c:x val="-0.1213142053839945"/>
              <c:y val="0.17103691664487783"/>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F8181"/>
          </a:solidFill>
          <a:ln w="19050">
            <a:solidFill>
              <a:schemeClr val="lt1"/>
            </a:solidFill>
          </a:ln>
          <a:effectLst/>
        </c:spPr>
        <c:dLbl>
          <c:idx val="0"/>
          <c:layout>
            <c:manualLayout>
              <c:x val="0.16175227384532598"/>
              <c:y val="-0.10846243494553227"/>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8181"/>
          </a:solidFill>
          <a:ln w="19050">
            <a:solidFill>
              <a:schemeClr val="lt1"/>
            </a:solidFill>
          </a:ln>
          <a:effectLst/>
        </c:spPr>
        <c:dLbl>
          <c:idx val="0"/>
          <c:layout>
            <c:manualLayout>
              <c:x val="0.16175227384532598"/>
              <c:y val="-0.10846243494553227"/>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'Charts &amp; Hard Costs Breakdown'!$N$6</c:f>
              <c:strCache>
                <c:ptCount val="1"/>
                <c:pt idx="0">
                  <c:v>Total</c:v>
                </c:pt>
              </c:strCache>
            </c:strRef>
          </c:tx>
          <c:spPr>
            <a:solidFill>
              <a:srgbClr val="FF8181"/>
            </a:solidFill>
          </c:spPr>
          <c:dPt>
            <c:idx val="0"/>
            <c:bubble3D val="0"/>
            <c:spPr>
              <a:solidFill>
                <a:srgbClr val="FF8181"/>
              </a:solidFill>
              <a:ln w="19050">
                <a:solidFill>
                  <a:schemeClr val="lt1"/>
                </a:solidFill>
              </a:ln>
              <a:effectLst/>
            </c:spPr>
            <c:extLst>
              <c:ext xmlns:c16="http://schemas.microsoft.com/office/drawing/2014/chart" uri="{C3380CC4-5D6E-409C-BE32-E72D297353CC}">
                <c16:uniqueId val="{00000003-28CB-4528-B333-3DBEDD8206EB}"/>
              </c:ext>
            </c:extLst>
          </c:dPt>
          <c:dPt>
            <c:idx val="1"/>
            <c:bubble3D val="0"/>
            <c:spPr>
              <a:solidFill>
                <a:srgbClr val="FF8181"/>
              </a:solidFill>
              <a:ln w="19050">
                <a:solidFill>
                  <a:schemeClr val="lt1"/>
                </a:solidFill>
              </a:ln>
              <a:effectLst/>
            </c:spPr>
            <c:extLst>
              <c:ext xmlns:c16="http://schemas.microsoft.com/office/drawing/2014/chart" uri="{C3380CC4-5D6E-409C-BE32-E72D297353CC}">
                <c16:uniqueId val="{00000002-28CB-4528-B333-3DBEDD8206EB}"/>
              </c:ext>
            </c:extLst>
          </c:dPt>
          <c:dLbls>
            <c:dLbl>
              <c:idx val="0"/>
              <c:layout>
                <c:manualLayout>
                  <c:x val="0.16175227384532598"/>
                  <c:y val="-0.1084624349455322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8CB-4528-B333-3DBEDD8206EB}"/>
                </c:ext>
              </c:extLst>
            </c:dLbl>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'Charts &amp; Hard Costs Breakdown'!$M$7</c:f>
              <c:strCache>
                <c:ptCount val="1"/>
                <c:pt idx="0">
                  <c:v>Total</c:v>
                </c:pt>
              </c:strCache>
            </c:strRef>
          </c:cat>
          <c:val>
            <c:numRef>
              <c:f>'Charts &amp; Hard Costs Breakdown'!$N$7</c:f>
              <c:numCache>
                <c:formatCode>#,##0\ "€"</c:formatCode>
                <c:ptCount val="1"/>
              </c:numCache>
            </c:numRef>
          </c:val>
          <c:extLst>
            <c:ext xmlns:c16="http://schemas.microsoft.com/office/drawing/2014/chart" uri="{C3380CC4-5D6E-409C-BE32-E72D297353CC}">
              <c16:uniqueId val="{00000000-28CB-4528-B333-3DBEDD8206EB}"/>
            </c:ext>
          </c:extLst>
        </c:ser>
        <c:dLbls>
          <c:showLegendKey val="0"/>
          <c:showVal val="0"/>
          <c:showCatName val="0"/>
          <c:showSerName val="0"/>
          <c:showPercent val="0"/>
          <c:showBubbleSize val="0"/>
          <c:showLeaderLines val="1"/>
        </c:dLbls>
        <c:firstSliceAng val="0"/>
        <c:holeSize val="30"/>
      </c:doughnutChart>
      <c:spPr>
        <a:noFill/>
        <a:ln>
          <a:noFill/>
        </a:ln>
        <a:effectLst/>
      </c:spPr>
    </c:plotArea>
    <c:legend>
      <c:legendPos val="r"/>
      <c:layout>
        <c:manualLayout>
          <c:xMode val="edge"/>
          <c:yMode val="edge"/>
          <c:x val="0.74572364301800353"/>
          <c:y val="0.83967763789656047"/>
          <c:w val="0.14752200080345454"/>
          <c:h val="0.16032244427502429"/>
        </c:manualLayout>
      </c:layout>
      <c:overlay val="0"/>
      <c:spPr>
        <a:noFill/>
        <a:ln>
          <a:noFill/>
        </a:ln>
        <a:effectLst/>
      </c:spPr>
      <c:txPr>
        <a:bodyPr rot="0" spcFirstLastPara="1" vertOverflow="ellipsis" vert="horz" wrap="square" anchor="ctr" anchorCtr="1"/>
        <a:lstStyle/>
        <a:p>
          <a:pPr>
            <a:defRPr lang="en-US" sz="12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vmlDrawing2.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39542</xdr:colOff>
      <xdr:row>1</xdr:row>
      <xdr:rowOff>0</xdr:rowOff>
    </xdr:from>
    <xdr:to>
      <xdr:col>4</xdr:col>
      <xdr:colOff>34636</xdr:colOff>
      <xdr:row>5</xdr:row>
      <xdr:rowOff>187566</xdr:rowOff>
    </xdr:to>
    <xdr:pic>
      <xdr:nvPicPr>
        <xdr:cNvPr id="2" name="Imagen 1">
          <a:extLst>
            <a:ext uri="{FF2B5EF4-FFF2-40B4-BE49-F238E27FC236}">
              <a16:creationId xmlns:a16="http://schemas.microsoft.com/office/drawing/2014/main" id="{3963451B-75F6-49C2-8CA8-73ADE7FA260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39542" y="226416"/>
          <a:ext cx="985694" cy="964988"/>
        </a:xfrm>
        <a:prstGeom prst="rect">
          <a:avLst/>
        </a:prstGeom>
      </xdr:spPr>
    </xdr:pic>
    <xdr:clientData/>
  </xdr:twoCellAnchor>
  <xdr:twoCellAnchor editAs="oneCell">
    <xdr:from>
      <xdr:col>16</xdr:col>
      <xdr:colOff>7363</xdr:colOff>
      <xdr:row>1</xdr:row>
      <xdr:rowOff>0</xdr:rowOff>
    </xdr:from>
    <xdr:to>
      <xdr:col>16</xdr:col>
      <xdr:colOff>948746</xdr:colOff>
      <xdr:row>6</xdr:row>
      <xdr:rowOff>2716</xdr:rowOff>
    </xdr:to>
    <xdr:pic>
      <xdr:nvPicPr>
        <xdr:cNvPr id="4" name="Imagen 3">
          <a:extLst>
            <a:ext uri="{FF2B5EF4-FFF2-40B4-BE49-F238E27FC236}">
              <a16:creationId xmlns:a16="http://schemas.microsoft.com/office/drawing/2014/main" id="{A82AE000-41ED-2DC1-6A41-B6655DA5972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477449" y="222309"/>
          <a:ext cx="927413" cy="9862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5245</xdr:colOff>
      <xdr:row>42</xdr:row>
      <xdr:rowOff>73654</xdr:rowOff>
    </xdr:from>
    <xdr:to>
      <xdr:col>7</xdr:col>
      <xdr:colOff>15875</xdr:colOff>
      <xdr:row>63</xdr:row>
      <xdr:rowOff>111125</xdr:rowOff>
    </xdr:to>
    <xdr:graphicFrame macro="">
      <xdr:nvGraphicFramePr>
        <xdr:cNvPr id="2" name="Gráfico 1">
          <a:extLst>
            <a:ext uri="{FF2B5EF4-FFF2-40B4-BE49-F238E27FC236}">
              <a16:creationId xmlns:a16="http://schemas.microsoft.com/office/drawing/2014/main" id="{7FF0EAC5-8468-40AB-9A13-47F4AEFED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12</xdr:row>
      <xdr:rowOff>141516</xdr:rowOff>
    </xdr:from>
    <xdr:to>
      <xdr:col>10</xdr:col>
      <xdr:colOff>9071</xdr:colOff>
      <xdr:row>28</xdr:row>
      <xdr:rowOff>81644</xdr:rowOff>
    </xdr:to>
    <xdr:graphicFrame macro="">
      <xdr:nvGraphicFramePr>
        <xdr:cNvPr id="3" name="Gráfico 2">
          <a:extLst>
            <a:ext uri="{FF2B5EF4-FFF2-40B4-BE49-F238E27FC236}">
              <a16:creationId xmlns:a16="http://schemas.microsoft.com/office/drawing/2014/main" id="{4AA0BA4A-63C6-48C0-AD0D-14BC4DC57F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xdr:colOff>
      <xdr:row>42</xdr:row>
      <xdr:rowOff>79375</xdr:rowOff>
    </xdr:from>
    <xdr:to>
      <xdr:col>14</xdr:col>
      <xdr:colOff>725715</xdr:colOff>
      <xdr:row>63</xdr:row>
      <xdr:rowOff>111125</xdr:rowOff>
    </xdr:to>
    <xdr:graphicFrame macro="">
      <xdr:nvGraphicFramePr>
        <xdr:cNvPr id="12" name="Gráfico 11">
          <a:extLst>
            <a:ext uri="{FF2B5EF4-FFF2-40B4-BE49-F238E27FC236}">
              <a16:creationId xmlns:a16="http://schemas.microsoft.com/office/drawing/2014/main" id="{629F8E08-B3A3-4D33-85D2-FE167C279D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272144</xdr:colOff>
      <xdr:row>12</xdr:row>
      <xdr:rowOff>130628</xdr:rowOff>
    </xdr:from>
    <xdr:to>
      <xdr:col>7</xdr:col>
      <xdr:colOff>4990</xdr:colOff>
      <xdr:row>28</xdr:row>
      <xdr:rowOff>72571</xdr:rowOff>
    </xdr:to>
    <xdr:graphicFrame macro="">
      <xdr:nvGraphicFramePr>
        <xdr:cNvPr id="13" name="Gráfico 12">
          <a:extLst>
            <a:ext uri="{FF2B5EF4-FFF2-40B4-BE49-F238E27FC236}">
              <a16:creationId xmlns:a16="http://schemas.microsoft.com/office/drawing/2014/main" id="{BA6C96F0-0E13-4907-A1EE-54586088FC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185056</xdr:colOff>
      <xdr:row>12</xdr:row>
      <xdr:rowOff>130628</xdr:rowOff>
    </xdr:from>
    <xdr:to>
      <xdr:col>15</xdr:col>
      <xdr:colOff>635000</xdr:colOff>
      <xdr:row>28</xdr:row>
      <xdr:rowOff>54428</xdr:rowOff>
    </xdr:to>
    <xdr:graphicFrame macro="">
      <xdr:nvGraphicFramePr>
        <xdr:cNvPr id="14" name="Gráfico 13">
          <a:extLst>
            <a:ext uri="{FF2B5EF4-FFF2-40B4-BE49-F238E27FC236}">
              <a16:creationId xmlns:a16="http://schemas.microsoft.com/office/drawing/2014/main" id="{5A1CE535-9D29-4E9B-88E2-AD59A99C0F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vier Cabrero Bravo" refreshedDate="46226.533742708336" createdVersion="8" refreshedVersion="8" minRefreshableVersion="3" recordCount="182" xr:uid="{73058BFF-8FF1-413A-A437-20934B45541D}">
  <cacheSource type="worksheet">
    <worksheetSource ref="H10:Q192" sheet="CapEx"/>
  </cacheSource>
  <cacheFields count="10">
    <cacheField name="Risk" numFmtId="0">
      <sharedItems containsNonDate="0" containsBlank="1" count="5">
        <m/>
        <s v="04 Extreme" u="1"/>
        <s v="03 High" u="1"/>
        <s v="02 Moderate" u="1"/>
        <s v="01 Low" u="1"/>
      </sharedItems>
    </cacheField>
    <cacheField name="Comments" numFmtId="0">
      <sharedItems containsNonDate="0" containsString="0" containsBlank="1"/>
    </cacheField>
    <cacheField name="SHORT TERM_x000a_(0-2 YEARS)" numFmtId="0">
      <sharedItems containsString="0" containsBlank="1" containsNumber="1" containsInteger="1" minValue="0" maxValue="0"/>
    </cacheField>
    <cacheField name="MEDIUM TERM_x000a_(3-5 YEARS)" numFmtId="0">
      <sharedItems containsString="0" containsBlank="1" containsNumber="1" containsInteger="1" minValue="0" maxValue="0"/>
    </cacheField>
    <cacheField name="LONG TERM_x000a_(6-10 YEARS)" numFmtId="0">
      <sharedItems containsString="0" containsBlank="1" containsNumber="1" containsInteger="1" minValue="0" maxValue="0"/>
    </cacheField>
    <cacheField name="IMPROVEMENTS" numFmtId="0">
      <sharedItems containsString="0" containsBlank="1" containsNumber="1" containsInteger="1" minValue="0" maxValue="0"/>
    </cacheField>
    <cacheField name="OTHER" numFmtId="0">
      <sharedItems containsString="0" containsBlank="1" containsNumber="1" containsInteger="1" minValue="0" maxValue="0"/>
    </cacheField>
    <cacheField name="TOTAL" numFmtId="0">
      <sharedItems containsString="0" containsBlank="1" containsNumber="1" containsInteger="1" minValue="0" maxValue="0"/>
    </cacheField>
    <cacheField name="Concept" numFmtId="0">
      <sharedItems containsNonDate="0" containsBlank="1" count="6">
        <m/>
        <s v="a. Maintenance" u="1"/>
        <s v="b. Repair" u="1"/>
        <s v="d. End of useful life" u="1"/>
        <s v="f. Improvement" u="1"/>
        <s v="c. Regulatory" u="1"/>
      </sharedItems>
    </cacheField>
    <cacheField name="Recoverable from tenant(s)" numFmtId="0">
      <sharedItems containsNonDate="0" containsBlank="1" count="3">
        <m/>
        <s v="YES" u="1"/>
        <s v="NO" u="1"/>
      </sharedItems>
    </cacheField>
  </cacheFields>
  <extLst>
    <ext xmlns:x14="http://schemas.microsoft.com/office/spreadsheetml/2009/9/main" uri="{725AE2AE-9491-48be-B2B4-4EB974FC3084}">
      <x14:pivotCacheDefinition pivotCacheId="33158426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vier Cabrero Bravo" refreshedDate="46226.533745370369" createdVersion="8" refreshedVersion="8" minRefreshableVersion="3" recordCount="246" xr:uid="{4B28B922-C280-41EC-8A2B-260281FFA7B6}">
  <cacheSource type="worksheet">
    <worksheetSource ref="C10:Q256" sheet="CapEx"/>
  </cacheSource>
  <cacheFields count="15">
    <cacheField name="Cost Type" numFmtId="0">
      <sharedItems containsBlank="1" count="5">
        <m/>
        <s v="Hard_Cost"/>
        <s v="Environmental"/>
        <s v="ESG_Energy"/>
        <s v="Soft_Cost"/>
      </sharedItems>
    </cacheField>
    <cacheField name="Category" numFmtId="0">
      <sharedItems containsBlank="1" count="21">
        <m/>
        <s v="H01.Structure"/>
        <s v="H02.Roof"/>
        <s v="H03.Facades"/>
        <s v="H04.Interiors"/>
        <s v="H05.External_Areas"/>
        <s v="H06.Passive_Fire_Protection"/>
        <s v="H07.Accessibility"/>
        <s v="H08.HVAC"/>
        <s v="H09.Electrical"/>
        <s v="H10.Active_Fire_Protection"/>
        <s v="H11.Plumbing_and_Drainage"/>
        <s v="H12.Vertical_Transportation_and_Mechanical_Doors"/>
        <s v="H13.Security_CCTV_and_BMS"/>
        <s v="H14.Telecommunications_Voice_and_Data"/>
        <s v="H15.Others"/>
        <s v="Environmental"/>
        <s v="ESG"/>
        <s v="S01.Design, Engineering &amp; Construction Management"/>
        <s v="S02.Additional Works"/>
        <s v="S03.Permits and Fees"/>
      </sharedItems>
    </cacheField>
    <cacheField name="Item" numFmtId="0">
      <sharedItems containsBlank="1"/>
    </cacheField>
    <cacheField name="Affected Area" numFmtId="0">
      <sharedItems containsBlank="1"/>
    </cacheField>
    <cacheField name="Description" numFmtId="0">
      <sharedItems containsNonDate="0" containsString="0" containsBlank="1"/>
    </cacheField>
    <cacheField name="Risk" numFmtId="0">
      <sharedItems containsBlank="1"/>
    </cacheField>
    <cacheField name="Comments" numFmtId="0">
      <sharedItems containsNonDate="0" containsString="0" containsBlank="1"/>
    </cacheField>
    <cacheField name="SHORT TERM_x000a_(0-2 YEARS)" numFmtId="0">
      <sharedItems containsString="0" containsBlank="1" containsNumber="1" containsInteger="1" minValue="0" maxValue="0"/>
    </cacheField>
    <cacheField name="MEDIUM TERM_x000a_(3-5 YEARS)" numFmtId="0">
      <sharedItems containsString="0" containsBlank="1" containsNumber="1" containsInteger="1" minValue="0" maxValue="0"/>
    </cacheField>
    <cacheField name="LONG TERM_x000a_(6-10 YEARS)" numFmtId="0">
      <sharedItems containsString="0" containsBlank="1" containsNumber="1" containsInteger="1" minValue="0" maxValue="0"/>
    </cacheField>
    <cacheField name="IMPROVEMENTS" numFmtId="0">
      <sharedItems containsString="0" containsBlank="1" containsNumber="1" containsInteger="1" minValue="0" maxValue="0"/>
    </cacheField>
    <cacheField name="OTHER" numFmtId="0">
      <sharedItems containsString="0" containsBlank="1" containsNumber="1" containsInteger="1" minValue="0" maxValue="0"/>
    </cacheField>
    <cacheField name="TOTAL" numFmtId="0">
      <sharedItems containsString="0" containsBlank="1" containsNumber="1" containsInteger="1" minValue="0" maxValue="0"/>
    </cacheField>
    <cacheField name="Concept" numFmtId="0">
      <sharedItems containsBlank="1"/>
    </cacheField>
    <cacheField name="Recoverable from tenant(s)" numFmtId="0">
      <sharedItems containsBlank="1"/>
    </cacheField>
  </cacheFields>
  <extLst>
    <ext xmlns:x14="http://schemas.microsoft.com/office/spreadsheetml/2009/9/main" uri="{725AE2AE-9491-48be-B2B4-4EB974FC3084}">
      <x14:pivotCacheDefinition pivotCacheId="32727623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73446F5-867A-46DA-A9BE-55DC69CA68EB}" name="TablaDinámica1" cacheId="12"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rowHeaderCaption=" ">
  <location ref="A2:G27" firstHeaderRow="0" firstDataRow="1" firstDataCol="1"/>
  <pivotFields count="15">
    <pivotField axis="axisRow" showAll="0">
      <items count="6">
        <item x="1"/>
        <item x="3"/>
        <item x="2"/>
        <item x="4"/>
        <item h="1" x="0"/>
        <item t="default"/>
      </items>
    </pivotField>
    <pivotField axis="axisRow" showAll="0">
      <items count="22">
        <item x="16"/>
        <item x="17"/>
        <item x="1"/>
        <item x="2"/>
        <item x="3"/>
        <item x="4"/>
        <item x="5"/>
        <item x="6"/>
        <item x="7"/>
        <item x="8"/>
        <item x="9"/>
        <item x="10"/>
        <item x="11"/>
        <item x="12"/>
        <item x="13"/>
        <item x="14"/>
        <item x="15"/>
        <item x="18"/>
        <item x="19"/>
        <item x="20"/>
        <item x="0"/>
        <item t="default"/>
      </items>
    </pivotField>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pivotField showAll="0"/>
  </pivotFields>
  <rowFields count="2">
    <field x="0"/>
    <field x="1"/>
  </rowFields>
  <rowItems count="25">
    <i>
      <x/>
    </i>
    <i r="1">
      <x v="2"/>
    </i>
    <i r="1">
      <x v="3"/>
    </i>
    <i r="1">
      <x v="4"/>
    </i>
    <i r="1">
      <x v="5"/>
    </i>
    <i r="1">
      <x v="6"/>
    </i>
    <i r="1">
      <x v="7"/>
    </i>
    <i r="1">
      <x v="8"/>
    </i>
    <i r="1">
      <x v="9"/>
    </i>
    <i r="1">
      <x v="10"/>
    </i>
    <i r="1">
      <x v="11"/>
    </i>
    <i r="1">
      <x v="12"/>
    </i>
    <i r="1">
      <x v="13"/>
    </i>
    <i r="1">
      <x v="14"/>
    </i>
    <i r="1">
      <x v="15"/>
    </i>
    <i r="1">
      <x v="16"/>
    </i>
    <i>
      <x v="1"/>
    </i>
    <i r="1">
      <x v="1"/>
    </i>
    <i>
      <x v="2"/>
    </i>
    <i r="1">
      <x/>
    </i>
    <i>
      <x v="3"/>
    </i>
    <i r="1">
      <x v="17"/>
    </i>
    <i r="1">
      <x v="18"/>
    </i>
    <i r="1">
      <x v="19"/>
    </i>
    <i t="grand">
      <x/>
    </i>
  </rowItems>
  <colFields count="1">
    <field x="-2"/>
  </colFields>
  <colItems count="6">
    <i>
      <x/>
    </i>
    <i i="1">
      <x v="1"/>
    </i>
    <i i="2">
      <x v="2"/>
    </i>
    <i i="3">
      <x v="3"/>
    </i>
    <i i="4">
      <x v="4"/>
    </i>
    <i i="5">
      <x v="5"/>
    </i>
  </colItems>
  <dataFields count="6">
    <dataField name=" SHORT TERM_x000a_(0-2 YEARS)" fld="7" baseField="0" baseItem="0"/>
    <dataField name=" MEDIUM TERM_x000a_(3-5 YEARS)" fld="8" baseField="0" baseItem="0"/>
    <dataField name=" LONG TERM_x000a_(6-10 YEARS)" fld="9" baseField="0" baseItem="0"/>
    <dataField name=" IMPROVEMENTS" fld="10" baseField="0" baseItem="0"/>
    <dataField name=" OTHER" fld="11" baseField="0" baseItem="0"/>
    <dataField name=" TOTAL" fld="12" baseField="0" baseItem="0"/>
  </dataFields>
  <formats count="123">
    <format dxfId="347">
      <pivotArea outline="0" collapsedLevelsAreSubtotals="1" fieldPosition="0"/>
    </format>
    <format dxfId="346">
      <pivotArea type="all" dataOnly="0" outline="0" fieldPosition="0"/>
    </format>
    <format dxfId="345">
      <pivotArea outline="0" collapsedLevelsAreSubtotals="1" fieldPosition="0"/>
    </format>
    <format dxfId="344">
      <pivotArea dataOnly="0" labelOnly="1" grandRow="1" outline="0" fieldPosition="0"/>
    </format>
    <format dxfId="343">
      <pivotArea type="all" dataOnly="0" outline="0" fieldPosition="0"/>
    </format>
    <format dxfId="342">
      <pivotArea outline="0" collapsedLevelsAreSubtotals="1" fieldPosition="0"/>
    </format>
    <format dxfId="341">
      <pivotArea dataOnly="0" labelOnly="1" grandRow="1" outline="0" fieldPosition="0"/>
    </format>
    <format dxfId="340">
      <pivotArea grandRow="1" outline="0" collapsedLevelsAreSubtotals="1" fieldPosition="0"/>
    </format>
    <format dxfId="339">
      <pivotArea dataOnly="0" labelOnly="1" grandRow="1" outline="0" fieldPosition="0"/>
    </format>
    <format dxfId="338">
      <pivotArea grandRow="1" outline="0" collapsedLevelsAreSubtotals="1" fieldPosition="0"/>
    </format>
    <format dxfId="337">
      <pivotArea dataOnly="0" labelOnly="1" grandRow="1" outline="0" fieldPosition="0"/>
    </format>
    <format dxfId="336">
      <pivotArea grandRow="1" outline="0" collapsedLevelsAreSubtotals="1" fieldPosition="0"/>
    </format>
    <format dxfId="335">
      <pivotArea dataOnly="0" labelOnly="1" grandRow="1" outline="0" fieldPosition="0"/>
    </format>
    <format dxfId="334">
      <pivotArea dataOnly="0" labelOnly="1" grandRow="1" outline="0" fieldPosition="0"/>
    </format>
    <format dxfId="333">
      <pivotArea type="all" dataOnly="0" outline="0" fieldPosition="0"/>
    </format>
    <format dxfId="332">
      <pivotArea outline="0" collapsedLevelsAreSubtotals="1" fieldPosition="0"/>
    </format>
    <format dxfId="331">
      <pivotArea dataOnly="0" labelOnly="1" grandRow="1" outline="0" fieldPosition="0"/>
    </format>
    <format dxfId="330">
      <pivotArea type="all" dataOnly="0" outline="0" fieldPosition="0"/>
    </format>
    <format dxfId="329">
      <pivotArea outline="0" collapsedLevelsAreSubtotals="1" fieldPosition="0"/>
    </format>
    <format dxfId="328">
      <pivotArea dataOnly="0" labelOnly="1" grandRow="1" outline="0" fieldPosition="0"/>
    </format>
    <format dxfId="327">
      <pivotArea type="all" dataOnly="0" outline="0" fieldPosition="0"/>
    </format>
    <format dxfId="326">
      <pivotArea outline="0" collapsedLevelsAreSubtotals="1" fieldPosition="0"/>
    </format>
    <format dxfId="325">
      <pivotArea dataOnly="0" labelOnly="1" grandRow="1" outline="0" fieldPosition="0"/>
    </format>
    <format dxfId="324">
      <pivotArea type="all" dataOnly="0" outline="0" fieldPosition="0"/>
    </format>
    <format dxfId="323">
      <pivotArea outline="0" collapsedLevelsAreSubtotals="1" fieldPosition="0"/>
    </format>
    <format dxfId="322">
      <pivotArea grandRow="1" outline="0" collapsedLevelsAreSubtotals="1" fieldPosition="0"/>
    </format>
    <format dxfId="321">
      <pivotArea dataOnly="0" labelOnly="1" grandRow="1" outline="0" fieldPosition="0"/>
    </format>
    <format dxfId="320">
      <pivotArea field="0" type="button" dataOnly="0" labelOnly="1" outline="0" axis="axisRow" fieldPosition="0"/>
    </format>
    <format dxfId="319">
      <pivotArea dataOnly="0" labelOnly="1" outline="0" fieldPosition="0">
        <references count="1">
          <reference field="4294967294" count="6">
            <x v="0"/>
            <x v="1"/>
            <x v="2"/>
            <x v="3"/>
            <x v="4"/>
            <x v="5"/>
          </reference>
        </references>
      </pivotArea>
    </format>
    <format dxfId="318">
      <pivotArea field="0" type="button" dataOnly="0" labelOnly="1" outline="0" axis="axisRow" fieldPosition="0"/>
    </format>
    <format dxfId="317">
      <pivotArea dataOnly="0" labelOnly="1" outline="0" fieldPosition="0">
        <references count="1">
          <reference field="4294967294" count="6">
            <x v="0"/>
            <x v="1"/>
            <x v="2"/>
            <x v="3"/>
            <x v="4"/>
            <x v="5"/>
          </reference>
        </references>
      </pivotArea>
    </format>
    <format dxfId="316">
      <pivotArea field="0" type="button" dataOnly="0" labelOnly="1" outline="0" axis="axisRow" fieldPosition="0"/>
    </format>
    <format dxfId="315">
      <pivotArea dataOnly="0" labelOnly="1" outline="0" fieldPosition="0">
        <references count="1">
          <reference field="4294967294" count="6">
            <x v="0"/>
            <x v="1"/>
            <x v="2"/>
            <x v="3"/>
            <x v="4"/>
            <x v="5"/>
          </reference>
        </references>
      </pivotArea>
    </format>
    <format dxfId="314">
      <pivotArea field="0" type="button" dataOnly="0" labelOnly="1" outline="0" axis="axisRow" fieldPosition="0"/>
    </format>
    <format dxfId="313">
      <pivotArea dataOnly="0" labelOnly="1" outline="0" fieldPosition="0">
        <references count="1">
          <reference field="4294967294" count="6">
            <x v="0"/>
            <x v="1"/>
            <x v="2"/>
            <x v="3"/>
            <x v="4"/>
            <x v="5"/>
          </reference>
        </references>
      </pivotArea>
    </format>
    <format dxfId="312">
      <pivotArea collapsedLevelsAreSubtotals="1" fieldPosition="0">
        <references count="1">
          <reference field="0" count="1">
            <x v="0"/>
          </reference>
        </references>
      </pivotArea>
    </format>
    <format dxfId="311">
      <pivotArea collapsedLevelsAreSubtotals="1" fieldPosition="0">
        <references count="2">
          <reference field="0" count="1" selected="0">
            <x v="0"/>
          </reference>
          <reference field="1" count="15">
            <x v="2"/>
            <x v="3"/>
            <x v="4"/>
            <x v="5"/>
            <x v="6"/>
            <x v="7"/>
            <x v="8"/>
            <x v="9"/>
            <x v="10"/>
            <x v="11"/>
            <x v="12"/>
            <x v="13"/>
            <x v="14"/>
            <x v="15"/>
            <x v="16"/>
          </reference>
        </references>
      </pivotArea>
    </format>
    <format dxfId="310">
      <pivotArea collapsedLevelsAreSubtotals="1" fieldPosition="0">
        <references count="1">
          <reference field="0" count="1">
            <x v="1"/>
          </reference>
        </references>
      </pivotArea>
    </format>
    <format dxfId="309">
      <pivotArea collapsedLevelsAreSubtotals="1" fieldPosition="0">
        <references count="2">
          <reference field="0" count="1" selected="0">
            <x v="1"/>
          </reference>
          <reference field="1" count="1">
            <x v="1"/>
          </reference>
        </references>
      </pivotArea>
    </format>
    <format dxfId="308">
      <pivotArea collapsedLevelsAreSubtotals="1" fieldPosition="0">
        <references count="1">
          <reference field="0" count="1">
            <x v="2"/>
          </reference>
        </references>
      </pivotArea>
    </format>
    <format dxfId="307">
      <pivotArea collapsedLevelsAreSubtotals="1" fieldPosition="0">
        <references count="2">
          <reference field="0" count="1" selected="0">
            <x v="2"/>
          </reference>
          <reference field="1" count="1">
            <x v="0"/>
          </reference>
        </references>
      </pivotArea>
    </format>
    <format dxfId="306">
      <pivotArea collapsedLevelsAreSubtotals="1" fieldPosition="0">
        <references count="1">
          <reference field="0" count="1">
            <x v="3"/>
          </reference>
        </references>
      </pivotArea>
    </format>
    <format dxfId="305">
      <pivotArea collapsedLevelsAreSubtotals="1" fieldPosition="0">
        <references count="2">
          <reference field="0" count="1" selected="0">
            <x v="3"/>
          </reference>
          <reference field="1" count="3">
            <x v="17"/>
            <x v="18"/>
            <x v="19"/>
          </reference>
        </references>
      </pivotArea>
    </format>
    <format dxfId="304">
      <pivotArea collapsedLevelsAreSubtotals="1" fieldPosition="0">
        <references count="1">
          <reference field="0" count="1">
            <x v="0"/>
          </reference>
        </references>
      </pivotArea>
    </format>
    <format dxfId="303">
      <pivotArea collapsedLevelsAreSubtotals="1" fieldPosition="0">
        <references count="2">
          <reference field="0" count="1" selected="0">
            <x v="0"/>
          </reference>
          <reference field="1" count="15">
            <x v="2"/>
            <x v="3"/>
            <x v="4"/>
            <x v="5"/>
            <x v="6"/>
            <x v="7"/>
            <x v="8"/>
            <x v="9"/>
            <x v="10"/>
            <x v="11"/>
            <x v="12"/>
            <x v="13"/>
            <x v="14"/>
            <x v="15"/>
            <x v="16"/>
          </reference>
        </references>
      </pivotArea>
    </format>
    <format dxfId="302">
      <pivotArea collapsedLevelsAreSubtotals="1" fieldPosition="0">
        <references count="1">
          <reference field="0" count="1">
            <x v="1"/>
          </reference>
        </references>
      </pivotArea>
    </format>
    <format dxfId="301">
      <pivotArea collapsedLevelsAreSubtotals="1" fieldPosition="0">
        <references count="2">
          <reference field="0" count="1" selected="0">
            <x v="1"/>
          </reference>
          <reference field="1" count="1">
            <x v="1"/>
          </reference>
        </references>
      </pivotArea>
    </format>
    <format dxfId="300">
      <pivotArea collapsedLevelsAreSubtotals="1" fieldPosition="0">
        <references count="1">
          <reference field="0" count="1">
            <x v="2"/>
          </reference>
        </references>
      </pivotArea>
    </format>
    <format dxfId="299">
      <pivotArea collapsedLevelsAreSubtotals="1" fieldPosition="0">
        <references count="2">
          <reference field="0" count="1" selected="0">
            <x v="2"/>
          </reference>
          <reference field="1" count="1">
            <x v="0"/>
          </reference>
        </references>
      </pivotArea>
    </format>
    <format dxfId="298">
      <pivotArea collapsedLevelsAreSubtotals="1" fieldPosition="0">
        <references count="1">
          <reference field="0" count="1">
            <x v="3"/>
          </reference>
        </references>
      </pivotArea>
    </format>
    <format dxfId="297">
      <pivotArea collapsedLevelsAreSubtotals="1" fieldPosition="0">
        <references count="2">
          <reference field="0" count="1" selected="0">
            <x v="3"/>
          </reference>
          <reference field="1" count="3">
            <x v="17"/>
            <x v="18"/>
            <x v="19"/>
          </reference>
        </references>
      </pivotArea>
    </format>
    <format dxfId="296">
      <pivotArea grandRow="1" outline="0" collapsedLevelsAreSubtotals="1" fieldPosition="0"/>
    </format>
    <format dxfId="295">
      <pivotArea grandRow="1" outline="0" collapsedLevelsAreSubtotals="1" fieldPosition="0"/>
    </format>
    <format dxfId="294">
      <pivotArea dataOnly="0" fieldPosition="0">
        <references count="1">
          <reference field="0" count="1">
            <x v="0"/>
          </reference>
        </references>
      </pivotArea>
    </format>
    <format dxfId="293">
      <pivotArea dataOnly="0" fieldPosition="0">
        <references count="1">
          <reference field="0" count="1">
            <x v="0"/>
          </reference>
        </references>
      </pivotArea>
    </format>
    <format dxfId="292">
      <pivotArea collapsedLevelsAreSubtotals="1" fieldPosition="0">
        <references count="1">
          <reference field="0" count="1">
            <x v="1"/>
          </reference>
        </references>
      </pivotArea>
    </format>
    <format dxfId="291">
      <pivotArea dataOnly="0" labelOnly="1" fieldPosition="0">
        <references count="1">
          <reference field="0" count="1">
            <x v="1"/>
          </reference>
        </references>
      </pivotArea>
    </format>
    <format dxfId="290">
      <pivotArea collapsedLevelsAreSubtotals="1" fieldPosition="0">
        <references count="1">
          <reference field="0" count="1">
            <x v="1"/>
          </reference>
        </references>
      </pivotArea>
    </format>
    <format dxfId="289">
      <pivotArea dataOnly="0" labelOnly="1" fieldPosition="0">
        <references count="1">
          <reference field="0" count="1">
            <x v="1"/>
          </reference>
        </references>
      </pivotArea>
    </format>
    <format dxfId="288">
      <pivotArea collapsedLevelsAreSubtotals="1" fieldPosition="0">
        <references count="1">
          <reference field="0" count="1">
            <x v="2"/>
          </reference>
        </references>
      </pivotArea>
    </format>
    <format dxfId="287">
      <pivotArea dataOnly="0" labelOnly="1" fieldPosition="0">
        <references count="1">
          <reference field="0" count="1">
            <x v="2"/>
          </reference>
        </references>
      </pivotArea>
    </format>
    <format dxfId="286">
      <pivotArea collapsedLevelsAreSubtotals="1" fieldPosition="0">
        <references count="1">
          <reference field="0" count="1">
            <x v="2"/>
          </reference>
        </references>
      </pivotArea>
    </format>
    <format dxfId="285">
      <pivotArea dataOnly="0" labelOnly="1" fieldPosition="0">
        <references count="1">
          <reference field="0" count="1">
            <x v="2"/>
          </reference>
        </references>
      </pivotArea>
    </format>
    <format dxfId="284">
      <pivotArea collapsedLevelsAreSubtotals="1" fieldPosition="0">
        <references count="1">
          <reference field="0" count="1">
            <x v="3"/>
          </reference>
        </references>
      </pivotArea>
    </format>
    <format dxfId="283">
      <pivotArea dataOnly="0" labelOnly="1" fieldPosition="0">
        <references count="1">
          <reference field="0" count="1">
            <x v="3"/>
          </reference>
        </references>
      </pivotArea>
    </format>
    <format dxfId="282">
      <pivotArea collapsedLevelsAreSubtotals="1" fieldPosition="0">
        <references count="1">
          <reference field="0" count="1">
            <x v="3"/>
          </reference>
        </references>
      </pivotArea>
    </format>
    <format dxfId="281">
      <pivotArea dataOnly="0" labelOnly="1" fieldPosition="0">
        <references count="1">
          <reference field="0" count="1">
            <x v="3"/>
          </reference>
        </references>
      </pivotArea>
    </format>
    <format dxfId="280">
      <pivotArea outline="0" collapsedLevelsAreSubtotals="1" fieldPosition="0"/>
    </format>
    <format dxfId="279">
      <pivotArea field="0" type="button" dataOnly="0" labelOnly="1" outline="0" axis="axisRow" fieldPosition="0"/>
    </format>
    <format dxfId="278">
      <pivotArea field="0" type="button" dataOnly="0" labelOnly="1" outline="0" axis="axisRow" fieldPosition="0"/>
    </format>
    <format dxfId="277">
      <pivotArea dataOnly="0" labelOnly="1" outline="0" fieldPosition="0">
        <references count="1">
          <reference field="4294967294" count="1">
            <x v="0"/>
          </reference>
        </references>
      </pivotArea>
    </format>
    <format dxfId="276">
      <pivotArea dataOnly="0" labelOnly="1" outline="0" fieldPosition="0">
        <references count="1">
          <reference field="4294967294" count="1">
            <x v="0"/>
          </reference>
        </references>
      </pivotArea>
    </format>
    <format dxfId="275">
      <pivotArea collapsedLevelsAreSubtotals="1" fieldPosition="0">
        <references count="3">
          <reference field="4294967294" count="1" selected="0">
            <x v="0"/>
          </reference>
          <reference field="0" count="1" selected="0">
            <x v="0"/>
          </reference>
          <reference field="1" count="15">
            <x v="2"/>
            <x v="3"/>
            <x v="4"/>
            <x v="5"/>
            <x v="6"/>
            <x v="7"/>
            <x v="8"/>
            <x v="9"/>
            <x v="10"/>
            <x v="11"/>
            <x v="12"/>
            <x v="13"/>
            <x v="14"/>
            <x v="15"/>
            <x v="16"/>
          </reference>
        </references>
      </pivotArea>
    </format>
    <format dxfId="274">
      <pivotArea collapsedLevelsAreSubtotals="1" fieldPosition="0">
        <references count="3">
          <reference field="4294967294" count="1" selected="0">
            <x v="0"/>
          </reference>
          <reference field="0" count="1" selected="0">
            <x v="1"/>
          </reference>
          <reference field="1" count="1">
            <x v="1"/>
          </reference>
        </references>
      </pivotArea>
    </format>
    <format dxfId="273">
      <pivotArea collapsedLevelsAreSubtotals="1" fieldPosition="0">
        <references count="3">
          <reference field="4294967294" count="1" selected="0">
            <x v="0"/>
          </reference>
          <reference field="0" count="1" selected="0">
            <x v="2"/>
          </reference>
          <reference field="1" count="1">
            <x v="0"/>
          </reference>
        </references>
      </pivotArea>
    </format>
    <format dxfId="272">
      <pivotArea collapsedLevelsAreSubtotals="1" fieldPosition="0">
        <references count="3">
          <reference field="4294967294" count="1" selected="0">
            <x v="0"/>
          </reference>
          <reference field="0" count="1" selected="0">
            <x v="3"/>
          </reference>
          <reference field="1" count="3">
            <x v="17"/>
            <x v="18"/>
            <x v="19"/>
          </reference>
        </references>
      </pivotArea>
    </format>
    <format dxfId="271">
      <pivotArea dataOnly="0" labelOnly="1" outline="0" fieldPosition="0">
        <references count="1">
          <reference field="4294967294" count="1">
            <x v="1"/>
          </reference>
        </references>
      </pivotArea>
    </format>
    <format dxfId="270">
      <pivotArea collapsedLevelsAreSubtotals="1" fieldPosition="0">
        <references count="3">
          <reference field="4294967294" count="1" selected="0">
            <x v="1"/>
          </reference>
          <reference field="0" count="1" selected="0">
            <x v="0"/>
          </reference>
          <reference field="1" count="14">
            <x v="3"/>
            <x v="4"/>
            <x v="5"/>
            <x v="6"/>
            <x v="7"/>
            <x v="8"/>
            <x v="9"/>
            <x v="10"/>
            <x v="11"/>
            <x v="12"/>
            <x v="13"/>
            <x v="14"/>
            <x v="15"/>
            <x v="16"/>
          </reference>
        </references>
      </pivotArea>
    </format>
    <format dxfId="269">
      <pivotArea collapsedLevelsAreSubtotals="1" fieldPosition="0">
        <references count="3">
          <reference field="4294967294" count="1" selected="0">
            <x v="1"/>
          </reference>
          <reference field="0" count="1" selected="0">
            <x v="1"/>
          </reference>
          <reference field="1" count="1">
            <x v="1"/>
          </reference>
        </references>
      </pivotArea>
    </format>
    <format dxfId="268">
      <pivotArea collapsedLevelsAreSubtotals="1" fieldPosition="0">
        <references count="3">
          <reference field="4294967294" count="1" selected="0">
            <x v="1"/>
          </reference>
          <reference field="0" count="1" selected="0">
            <x v="2"/>
          </reference>
          <reference field="1" count="1">
            <x v="0"/>
          </reference>
        </references>
      </pivotArea>
    </format>
    <format dxfId="267">
      <pivotArea collapsedLevelsAreSubtotals="1" fieldPosition="0">
        <references count="3">
          <reference field="4294967294" count="1" selected="0">
            <x v="1"/>
          </reference>
          <reference field="0" count="1" selected="0">
            <x v="3"/>
          </reference>
          <reference field="1" count="3">
            <x v="17"/>
            <x v="18"/>
            <x v="19"/>
          </reference>
        </references>
      </pivotArea>
    </format>
    <format dxfId="266">
      <pivotArea dataOnly="0" labelOnly="1" outline="0" fieldPosition="0">
        <references count="1">
          <reference field="4294967294" count="1">
            <x v="0"/>
          </reference>
        </references>
      </pivotArea>
    </format>
    <format dxfId="265">
      <pivotArea dataOnly="0" labelOnly="1" fieldPosition="0">
        <references count="1">
          <reference field="0" count="1">
            <x v="0"/>
          </reference>
        </references>
      </pivotArea>
    </format>
    <format dxfId="264">
      <pivotArea collapsedLevelsAreSubtotals="1" fieldPosition="0">
        <references count="3">
          <reference field="4294967294" count="1" selected="0">
            <x v="2"/>
          </reference>
          <reference field="0" count="1" selected="0">
            <x v="0"/>
          </reference>
          <reference field="1" count="15">
            <x v="2"/>
            <x v="3"/>
            <x v="4"/>
            <x v="5"/>
            <x v="6"/>
            <x v="7"/>
            <x v="8"/>
            <x v="9"/>
            <x v="10"/>
            <x v="11"/>
            <x v="12"/>
            <x v="13"/>
            <x v="14"/>
            <x v="15"/>
            <x v="16"/>
          </reference>
        </references>
      </pivotArea>
    </format>
    <format dxfId="263">
      <pivotArea collapsedLevelsAreSubtotals="1" fieldPosition="0">
        <references count="3">
          <reference field="4294967294" count="1" selected="0">
            <x v="2"/>
          </reference>
          <reference field="0" count="1" selected="0">
            <x v="1"/>
          </reference>
          <reference field="1" count="1">
            <x v="1"/>
          </reference>
        </references>
      </pivotArea>
    </format>
    <format dxfId="262">
      <pivotArea collapsedLevelsAreSubtotals="1" fieldPosition="0">
        <references count="3">
          <reference field="4294967294" count="1" selected="0">
            <x v="2"/>
          </reference>
          <reference field="0" count="1" selected="0">
            <x v="2"/>
          </reference>
          <reference field="1" count="1">
            <x v="0"/>
          </reference>
        </references>
      </pivotArea>
    </format>
    <format dxfId="261">
      <pivotArea collapsedLevelsAreSubtotals="1" fieldPosition="0">
        <references count="3">
          <reference field="4294967294" count="1" selected="0">
            <x v="2"/>
          </reference>
          <reference field="0" count="1" selected="0">
            <x v="3"/>
          </reference>
          <reference field="1" count="3">
            <x v="17"/>
            <x v="18"/>
            <x v="19"/>
          </reference>
        </references>
      </pivotArea>
    </format>
    <format dxfId="260">
      <pivotArea dataOnly="0" labelOnly="1" outline="0" fieldPosition="0">
        <references count="1">
          <reference field="4294967294" count="1">
            <x v="3"/>
          </reference>
        </references>
      </pivotArea>
    </format>
    <format dxfId="259">
      <pivotArea dataOnly="0" labelOnly="1" outline="0" fieldPosition="0">
        <references count="1">
          <reference field="4294967294" count="1">
            <x v="3"/>
          </reference>
        </references>
      </pivotArea>
    </format>
    <format dxfId="258">
      <pivotArea collapsedLevelsAreSubtotals="1" fieldPosition="0">
        <references count="3">
          <reference field="4294967294" count="1" selected="0">
            <x v="3"/>
          </reference>
          <reference field="0" count="1" selected="0">
            <x v="0"/>
          </reference>
          <reference field="1" count="15">
            <x v="2"/>
            <x v="3"/>
            <x v="4"/>
            <x v="5"/>
            <x v="6"/>
            <x v="7"/>
            <x v="8"/>
            <x v="9"/>
            <x v="10"/>
            <x v="11"/>
            <x v="12"/>
            <x v="13"/>
            <x v="14"/>
            <x v="15"/>
            <x v="16"/>
          </reference>
        </references>
      </pivotArea>
    </format>
    <format dxfId="257">
      <pivotArea collapsedLevelsAreSubtotals="1" fieldPosition="0">
        <references count="3">
          <reference field="4294967294" count="1" selected="0">
            <x v="3"/>
          </reference>
          <reference field="0" count="1" selected="0">
            <x v="1"/>
          </reference>
          <reference field="1" count="1">
            <x v="1"/>
          </reference>
        </references>
      </pivotArea>
    </format>
    <format dxfId="256">
      <pivotArea collapsedLevelsAreSubtotals="1" fieldPosition="0">
        <references count="3">
          <reference field="4294967294" count="1" selected="0">
            <x v="3"/>
          </reference>
          <reference field="0" count="1" selected="0">
            <x v="2"/>
          </reference>
          <reference field="1" count="1">
            <x v="0"/>
          </reference>
        </references>
      </pivotArea>
    </format>
    <format dxfId="255">
      <pivotArea collapsedLevelsAreSubtotals="1" fieldPosition="0">
        <references count="3">
          <reference field="4294967294" count="1" selected="0">
            <x v="3"/>
          </reference>
          <reference field="0" count="1" selected="0">
            <x v="3"/>
          </reference>
          <reference field="1" count="3">
            <x v="17"/>
            <x v="18"/>
            <x v="19"/>
          </reference>
        </references>
      </pivotArea>
    </format>
    <format dxfId="254">
      <pivotArea dataOnly="0" labelOnly="1" outline="0" fieldPosition="0">
        <references count="1">
          <reference field="4294967294" count="1">
            <x v="4"/>
          </reference>
        </references>
      </pivotArea>
    </format>
    <format dxfId="253">
      <pivotArea dataOnly="0" labelOnly="1" outline="0" fieldPosition="0">
        <references count="1">
          <reference field="4294967294" count="1">
            <x v="4"/>
          </reference>
        </references>
      </pivotArea>
    </format>
    <format dxfId="252">
      <pivotArea collapsedLevelsAreSubtotals="1" fieldPosition="0">
        <references count="3">
          <reference field="4294967294" count="1" selected="0">
            <x v="4"/>
          </reference>
          <reference field="0" count="1" selected="0">
            <x v="0"/>
          </reference>
          <reference field="1" count="15">
            <x v="2"/>
            <x v="3"/>
            <x v="4"/>
            <x v="5"/>
            <x v="6"/>
            <x v="7"/>
            <x v="8"/>
            <x v="9"/>
            <x v="10"/>
            <x v="11"/>
            <x v="12"/>
            <x v="13"/>
            <x v="14"/>
            <x v="15"/>
            <x v="16"/>
          </reference>
        </references>
      </pivotArea>
    </format>
    <format dxfId="251">
      <pivotArea collapsedLevelsAreSubtotals="1" fieldPosition="0">
        <references count="3">
          <reference field="4294967294" count="1" selected="0">
            <x v="4"/>
          </reference>
          <reference field="0" count="1" selected="0">
            <x v="1"/>
          </reference>
          <reference field="1" count="1">
            <x v="1"/>
          </reference>
        </references>
      </pivotArea>
    </format>
    <format dxfId="250">
      <pivotArea collapsedLevelsAreSubtotals="1" fieldPosition="0">
        <references count="3">
          <reference field="4294967294" count="1" selected="0">
            <x v="4"/>
          </reference>
          <reference field="0" count="1" selected="0">
            <x v="2"/>
          </reference>
          <reference field="1" count="1">
            <x v="0"/>
          </reference>
        </references>
      </pivotArea>
    </format>
    <format dxfId="249">
      <pivotArea collapsedLevelsAreSubtotals="1" fieldPosition="0">
        <references count="3">
          <reference field="4294967294" count="1" selected="0">
            <x v="4"/>
          </reference>
          <reference field="0" count="1" selected="0">
            <x v="3"/>
          </reference>
          <reference field="1" count="3">
            <x v="17"/>
            <x v="18"/>
            <x v="19"/>
          </reference>
        </references>
      </pivotArea>
    </format>
    <format dxfId="248">
      <pivotArea dataOnly="0" labelOnly="1" outline="0" fieldPosition="0">
        <references count="1">
          <reference field="4294967294" count="1">
            <x v="5"/>
          </reference>
        </references>
      </pivotArea>
    </format>
    <format dxfId="247">
      <pivotArea dataOnly="0" labelOnly="1" outline="0" fieldPosition="0">
        <references count="1">
          <reference field="4294967294" count="1">
            <x v="5"/>
          </reference>
        </references>
      </pivotArea>
    </format>
    <format dxfId="246">
      <pivotArea collapsedLevelsAreSubtotals="1" fieldPosition="0">
        <references count="3">
          <reference field="4294967294" count="1" selected="0">
            <x v="5"/>
          </reference>
          <reference field="0" count="1" selected="0">
            <x v="0"/>
          </reference>
          <reference field="1" count="15">
            <x v="2"/>
            <x v="3"/>
            <x v="4"/>
            <x v="5"/>
            <x v="6"/>
            <x v="7"/>
            <x v="8"/>
            <x v="9"/>
            <x v="10"/>
            <x v="11"/>
            <x v="12"/>
            <x v="13"/>
            <x v="14"/>
            <x v="15"/>
            <x v="16"/>
          </reference>
        </references>
      </pivotArea>
    </format>
    <format dxfId="245">
      <pivotArea collapsedLevelsAreSubtotals="1" fieldPosition="0">
        <references count="3">
          <reference field="4294967294" count="1" selected="0">
            <x v="5"/>
          </reference>
          <reference field="0" count="1" selected="0">
            <x v="1"/>
          </reference>
          <reference field="1" count="1">
            <x v="1"/>
          </reference>
        </references>
      </pivotArea>
    </format>
    <format dxfId="244">
      <pivotArea collapsedLevelsAreSubtotals="1" fieldPosition="0">
        <references count="3">
          <reference field="4294967294" count="1" selected="0">
            <x v="5"/>
          </reference>
          <reference field="0" count="1" selected="0">
            <x v="2"/>
          </reference>
          <reference field="1" count="1">
            <x v="0"/>
          </reference>
        </references>
      </pivotArea>
    </format>
    <format dxfId="243">
      <pivotArea collapsedLevelsAreSubtotals="1" fieldPosition="0">
        <references count="3">
          <reference field="4294967294" count="1" selected="0">
            <x v="5"/>
          </reference>
          <reference field="0" count="1" selected="0">
            <x v="3"/>
          </reference>
          <reference field="1" count="3">
            <x v="17"/>
            <x v="18"/>
            <x v="19"/>
          </reference>
        </references>
      </pivotArea>
    </format>
    <format dxfId="242">
      <pivotArea collapsedLevelsAreSubtotals="1" fieldPosition="0">
        <references count="1">
          <reference field="0" count="1">
            <x v="0"/>
          </reference>
        </references>
      </pivotArea>
    </format>
    <format dxfId="241">
      <pivotArea dataOnly="0" labelOnly="1" fieldPosition="0">
        <references count="1">
          <reference field="0" count="1">
            <x v="0"/>
          </reference>
        </references>
      </pivotArea>
    </format>
    <format dxfId="240">
      <pivotArea collapsedLevelsAreSubtotals="1" fieldPosition="0">
        <references count="1">
          <reference field="0" count="1">
            <x v="0"/>
          </reference>
        </references>
      </pivotArea>
    </format>
    <format dxfId="239">
      <pivotArea dataOnly="0" labelOnly="1" fieldPosition="0">
        <references count="1">
          <reference field="0" count="1">
            <x v="0"/>
          </reference>
        </references>
      </pivotArea>
    </format>
    <format dxfId="238">
      <pivotArea collapsedLevelsAreSubtotals="1" fieldPosition="0">
        <references count="1">
          <reference field="0" count="1">
            <x v="0"/>
          </reference>
        </references>
      </pivotArea>
    </format>
    <format dxfId="237">
      <pivotArea dataOnly="0" labelOnly="1" fieldPosition="0">
        <references count="1">
          <reference field="0" count="1">
            <x v="0"/>
          </reference>
        </references>
      </pivotArea>
    </format>
    <format dxfId="236">
      <pivotArea collapsedLevelsAreSubtotals="1" fieldPosition="0">
        <references count="1">
          <reference field="0" count="1">
            <x v="1"/>
          </reference>
        </references>
      </pivotArea>
    </format>
    <format dxfId="235">
      <pivotArea dataOnly="0" labelOnly="1" fieldPosition="0">
        <references count="1">
          <reference field="0" count="1">
            <x v="1"/>
          </reference>
        </references>
      </pivotArea>
    </format>
    <format dxfId="234">
      <pivotArea collapsedLevelsAreSubtotals="1" fieldPosition="0">
        <references count="1">
          <reference field="0" count="1">
            <x v="1"/>
          </reference>
        </references>
      </pivotArea>
    </format>
    <format dxfId="233">
      <pivotArea dataOnly="0" labelOnly="1" fieldPosition="0">
        <references count="1">
          <reference field="0" count="1">
            <x v="1"/>
          </reference>
        </references>
      </pivotArea>
    </format>
    <format dxfId="232">
      <pivotArea collapsedLevelsAreSubtotals="1" fieldPosition="0">
        <references count="1">
          <reference field="0" count="1">
            <x v="2"/>
          </reference>
        </references>
      </pivotArea>
    </format>
    <format dxfId="231">
      <pivotArea dataOnly="0" labelOnly="1" fieldPosition="0">
        <references count="1">
          <reference field="0" count="1">
            <x v="2"/>
          </reference>
        </references>
      </pivotArea>
    </format>
    <format dxfId="230">
      <pivotArea collapsedLevelsAreSubtotals="1" fieldPosition="0">
        <references count="1">
          <reference field="0" count="1">
            <x v="2"/>
          </reference>
        </references>
      </pivotArea>
    </format>
    <format dxfId="229">
      <pivotArea dataOnly="0" labelOnly="1" fieldPosition="0">
        <references count="1">
          <reference field="0" count="1">
            <x v="2"/>
          </reference>
        </references>
      </pivotArea>
    </format>
    <format dxfId="228">
      <pivotArea collapsedLevelsAreSubtotals="1" fieldPosition="0">
        <references count="1">
          <reference field="0" count="1">
            <x v="3"/>
          </reference>
        </references>
      </pivotArea>
    </format>
    <format dxfId="227">
      <pivotArea dataOnly="0" labelOnly="1" fieldPosition="0">
        <references count="1">
          <reference field="0" count="1">
            <x v="3"/>
          </reference>
        </references>
      </pivotArea>
    </format>
    <format dxfId="226">
      <pivotArea collapsedLevelsAreSubtotals="1" fieldPosition="0">
        <references count="1">
          <reference field="0" count="1">
            <x v="3"/>
          </reference>
        </references>
      </pivotArea>
    </format>
    <format dxfId="225">
      <pivotArea dataOnly="0" labelOnly="1" fieldPosition="0">
        <references count="1">
          <reference field="0"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172A96B-9034-4A8A-A418-899337D4BF11}" name="TablaDinámica13" cacheId="7" dataOnRows="1" applyNumberFormats="0" applyBorderFormats="0" applyFontFormats="0" applyPatternFormats="0" applyAlignmentFormats="0" applyWidthHeightFormats="1" dataCaption="Schedule" updatedVersion="8" minRefreshableVersion="3" itemPrintTitles="1" createdVersion="8" indent="0" outline="1" outlineData="1" multipleFieldFilters="0" chartFormat="4">
  <location ref="I34:J39" firstHeaderRow="1" firstDataRow="1" firstDataCol="1" rowPageCount="1" colPageCount="1"/>
  <pivotFields count="10">
    <pivotField showAll="0"/>
    <pivotField showAll="0"/>
    <pivotField dataField="1" showAll="0"/>
    <pivotField dataField="1" showAll="0"/>
    <pivotField dataField="1" showAll="0"/>
    <pivotField dataField="1" showAll="0"/>
    <pivotField dataField="1" showAll="0"/>
    <pivotField showAll="0"/>
    <pivotField axis="axisPage" multipleItemSelectionAllowed="1" showAll="0">
      <items count="7">
        <item m="1" x="1"/>
        <item m="1" x="2"/>
        <item m="1" x="5"/>
        <item m="1" x="4"/>
        <item h="1" x="0"/>
        <item m="1" x="3"/>
        <item t="default"/>
      </items>
    </pivotField>
    <pivotField showAll="0"/>
  </pivotFields>
  <rowFields count="1">
    <field x="-2"/>
  </rowFields>
  <rowItems count="5">
    <i>
      <x/>
    </i>
    <i i="1">
      <x v="1"/>
    </i>
    <i i="2">
      <x v="2"/>
    </i>
    <i i="3">
      <x v="3"/>
    </i>
    <i i="4">
      <x v="4"/>
    </i>
  </rowItems>
  <colItems count="1">
    <i/>
  </colItems>
  <pageFields count="1">
    <pageField fld="8" hier="-1"/>
  </pageFields>
  <dataFields count="5">
    <dataField name="SHORT TERM" fld="2" baseField="0" baseItem="0"/>
    <dataField name="MEDIUM TERM" fld="3" baseField="0" baseItem="0"/>
    <dataField name="LONG TERM" fld="4" baseField="0" baseItem="0"/>
    <dataField name=" IMPROVEMENTS" fld="5" baseField="0" baseItem="0"/>
    <dataField name=" OTHER" fld="6" baseField="0" baseItem="0"/>
  </dataFields>
  <formats count="22">
    <format dxfId="80">
      <pivotArea outline="0" collapsedLevelsAreSubtotals="1" fieldPosition="0"/>
    </format>
    <format dxfId="79">
      <pivotArea outline="0" collapsedLevelsAreSubtotals="1" fieldPosition="0"/>
    </format>
    <format dxfId="78">
      <pivotArea type="all" dataOnly="0" outline="0" fieldPosition="0"/>
    </format>
    <format dxfId="77">
      <pivotArea outline="0" collapsedLevelsAreSubtotals="1" fieldPosition="0"/>
    </format>
    <format dxfId="76">
      <pivotArea field="-2" type="button" dataOnly="0" labelOnly="1" outline="0" axis="axisRow" fieldPosition="0"/>
    </format>
    <format dxfId="75">
      <pivotArea dataOnly="0" labelOnly="1" grandCol="1" outline="0" axis="axisCol" fieldPosition="0"/>
    </format>
    <format dxfId="74">
      <pivotArea field="-2" type="button" dataOnly="0" labelOnly="1" outline="0" axis="axisRow" fieldPosition="0"/>
    </format>
    <format dxfId="73">
      <pivotArea dataOnly="0" labelOnly="1" grandCol="1" outline="0" axis="axisCol" fieldPosition="0"/>
    </format>
    <format dxfId="72">
      <pivotArea outline="0" collapsedLevelsAreSubtotals="1" fieldPosition="0"/>
    </format>
    <format dxfId="71">
      <pivotArea field="-2" type="button" dataOnly="0" labelOnly="1" outline="0" axis="axisRow" fieldPosition="0"/>
    </format>
    <format dxfId="70">
      <pivotArea dataOnly="0" labelOnly="1" grandCol="1" outline="0" axis="axisCol" fieldPosition="0"/>
    </format>
    <format dxfId="69">
      <pivotArea field="-2" type="button" dataOnly="0" labelOnly="1" outline="0" axis="axisRow" fieldPosition="0"/>
    </format>
    <format dxfId="68">
      <pivotArea dataOnly="0" labelOnly="1" grandCol="1" outline="0" axis="axisCol" fieldPosition="0"/>
    </format>
    <format dxfId="67">
      <pivotArea type="all" dataOnly="0" outline="0" fieldPosition="0"/>
    </format>
    <format dxfId="66">
      <pivotArea outline="0" collapsedLevelsAreSubtotals="1" fieldPosition="0"/>
    </format>
    <format dxfId="65">
      <pivotArea field="-2" type="button" dataOnly="0" labelOnly="1" outline="0" axis="axisRow" fieldPosition="0"/>
    </format>
    <format dxfId="64">
      <pivotArea dataOnly="0" labelOnly="1" grandCol="1" outline="0" axis="axisCol" fieldPosition="0"/>
    </format>
    <format dxfId="63">
      <pivotArea type="all" dataOnly="0" outline="0" fieldPosition="0"/>
    </format>
    <format dxfId="62">
      <pivotArea outline="0" collapsedLevelsAreSubtotals="1" fieldPosition="0"/>
    </format>
    <format dxfId="61">
      <pivotArea field="-2" type="button" dataOnly="0" labelOnly="1" outline="0" axis="axisRow" fieldPosition="0"/>
    </format>
    <format dxfId="60">
      <pivotArea dataOnly="0" labelOnly="1" grandCol="1" outline="0" axis="axisCol" fieldPosition="0"/>
    </format>
    <format dxfId="59">
      <pivotArea outline="0" collapsedLevelsAreSubtotals="1" fieldPosition="0"/>
    </format>
  </formats>
  <chartFormats count="6">
    <chartFormat chart="2" format="54" series="1">
      <pivotArea type="data" outline="0" fieldPosition="0">
        <references count="1">
          <reference field="4294967294" count="1" selected="0">
            <x v="0"/>
          </reference>
        </references>
      </pivotArea>
    </chartFormat>
    <chartFormat chart="2" format="55">
      <pivotArea type="data" outline="0" fieldPosition="0">
        <references count="1">
          <reference field="4294967294" count="1" selected="0">
            <x v="0"/>
          </reference>
        </references>
      </pivotArea>
    </chartFormat>
    <chartFormat chart="2" format="56">
      <pivotArea type="data" outline="0" fieldPosition="0">
        <references count="1">
          <reference field="4294967294" count="1" selected="0">
            <x v="1"/>
          </reference>
        </references>
      </pivotArea>
    </chartFormat>
    <chartFormat chart="2" format="57">
      <pivotArea type="data" outline="0" fieldPosition="0">
        <references count="1">
          <reference field="4294967294" count="1" selected="0">
            <x v="2"/>
          </reference>
        </references>
      </pivotArea>
    </chartFormat>
    <chartFormat chart="2" format="58">
      <pivotArea type="data" outline="0" fieldPosition="0">
        <references count="1">
          <reference field="4294967294" count="1" selected="0">
            <x v="3"/>
          </reference>
        </references>
      </pivotArea>
    </chartFormat>
    <chartFormat chart="2" format="59">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F73BB31-EB66-494D-B815-4D58318FA08F}" name="TablaDinámica12" cacheId="7"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chartFormat="6" rowHeaderCaption="Risk">
  <location ref="I6:J7" firstHeaderRow="1" firstDataRow="1" firstDataCol="1"/>
  <pivotFields count="10">
    <pivotField axis="axisRow" showAll="0">
      <items count="6">
        <item m="1" x="4"/>
        <item m="1" x="3"/>
        <item m="1" x="2"/>
        <item m="1" x="1"/>
        <item h="1" x="0"/>
        <item t="default"/>
      </items>
    </pivotField>
    <pivotField showAll="0"/>
    <pivotField showAll="0"/>
    <pivotField showAll="0"/>
    <pivotField showAll="0"/>
    <pivotField showAll="0"/>
    <pivotField showAll="0"/>
    <pivotField dataField="1" showAll="0"/>
    <pivotField showAll="0"/>
    <pivotField showAll="0"/>
  </pivotFields>
  <rowFields count="1">
    <field x="0"/>
  </rowFields>
  <rowItems count="1">
    <i t="grand">
      <x/>
    </i>
  </rowItems>
  <colItems count="1">
    <i/>
  </colItems>
  <dataFields count="1">
    <dataField name=" TOTAL" fld="7" baseField="0" baseItem="0"/>
  </dataFields>
  <formats count="35">
    <format dxfId="115">
      <pivotArea dataOnly="0" labelOnly="1" outline="0" axis="axisValues" fieldPosition="0"/>
    </format>
    <format dxfId="114">
      <pivotArea outline="0" collapsedLevelsAreSubtotals="1" fieldPosition="0"/>
    </format>
    <format dxfId="113">
      <pivotArea outline="0" collapsedLevelsAreSubtotals="1" fieldPosition="0"/>
    </format>
    <format dxfId="112">
      <pivotArea type="all" dataOnly="0" outline="0" fieldPosition="0"/>
    </format>
    <format dxfId="111">
      <pivotArea dataOnly="0" labelOnly="1" grandRow="1" outline="0" fieldPosition="0"/>
    </format>
    <format dxfId="110">
      <pivotArea dataOnly="0" labelOnly="1" outline="0" axis="axisValues" fieldPosition="0"/>
    </format>
    <format dxfId="109">
      <pivotArea dataOnly="0" labelOnly="1" outline="0" axis="axisValues" fieldPosition="0"/>
    </format>
    <format dxfId="108">
      <pivotArea grandRow="1" outline="0" collapsedLevelsAreSubtotals="1" fieldPosition="0"/>
    </format>
    <format dxfId="107">
      <pivotArea dataOnly="0" labelOnly="1" grandRow="1" outline="0" fieldPosition="0"/>
    </format>
    <format dxfId="106">
      <pivotArea dataOnly="0" labelOnly="1" outline="0" axis="axisValues" fieldPosition="0"/>
    </format>
    <format dxfId="105">
      <pivotArea grandRow="1" outline="0" collapsedLevelsAreSubtotals="1" fieldPosition="0"/>
    </format>
    <format dxfId="104">
      <pivotArea dataOnly="0" labelOnly="1" grandRow="1" outline="0" fieldPosition="0"/>
    </format>
    <format dxfId="103">
      <pivotArea dataOnly="0" labelOnly="1" outline="0" axis="axisValues" fieldPosition="0"/>
    </format>
    <format dxfId="102">
      <pivotArea grandRow="1" outline="0" collapsedLevelsAreSubtotals="1" fieldPosition="0"/>
    </format>
    <format dxfId="101">
      <pivotArea dataOnly="0" labelOnly="1" grandRow="1" outline="0" fieldPosition="0"/>
    </format>
    <format dxfId="100">
      <pivotArea type="all" dataOnly="0" outline="0" fieldPosition="0"/>
    </format>
    <format dxfId="99">
      <pivotArea outline="0" collapsedLevelsAreSubtotals="1" fieldPosition="0"/>
    </format>
    <format dxfId="98">
      <pivotArea dataOnly="0" labelOnly="1" grandRow="1" outline="0" fieldPosition="0"/>
    </format>
    <format dxfId="97">
      <pivotArea dataOnly="0" labelOnly="1" outline="0" axis="axisValues" fieldPosition="0"/>
    </format>
    <format dxfId="96">
      <pivotArea field="0" type="button" dataOnly="0" labelOnly="1" outline="0" axis="axisRow" fieldPosition="0"/>
    </format>
    <format dxfId="95">
      <pivotArea field="0" type="button" dataOnly="0" labelOnly="1" outline="0" axis="axisRow" fieldPosition="0"/>
    </format>
    <format dxfId="94">
      <pivotArea type="all" dataOnly="0" outline="0" fieldPosition="0"/>
    </format>
    <format dxfId="93">
      <pivotArea outline="0" collapsedLevelsAreSubtotals="1" fieldPosition="0"/>
    </format>
    <format dxfId="92">
      <pivotArea field="0" type="button" dataOnly="0" labelOnly="1" outline="0" axis="axisRow" fieldPosition="0"/>
    </format>
    <format dxfId="91">
      <pivotArea dataOnly="0" labelOnly="1" fieldPosition="0">
        <references count="1">
          <reference field="0" count="0"/>
        </references>
      </pivotArea>
    </format>
    <format dxfId="90">
      <pivotArea dataOnly="0" labelOnly="1" grandRow="1" outline="0" fieldPosition="0"/>
    </format>
    <format dxfId="89">
      <pivotArea dataOnly="0" labelOnly="1" outline="0" axis="axisValues" fieldPosition="0"/>
    </format>
    <format dxfId="88">
      <pivotArea type="all" dataOnly="0" outline="0" fieldPosition="0"/>
    </format>
    <format dxfId="87">
      <pivotArea outline="0" collapsedLevelsAreSubtotals="1" fieldPosition="0"/>
    </format>
    <format dxfId="86">
      <pivotArea field="0" type="button" dataOnly="0" labelOnly="1" outline="0" axis="axisRow" fieldPosition="0"/>
    </format>
    <format dxfId="85">
      <pivotArea dataOnly="0" labelOnly="1" fieldPosition="0">
        <references count="1">
          <reference field="0" count="0"/>
        </references>
      </pivotArea>
    </format>
    <format dxfId="84">
      <pivotArea dataOnly="0" labelOnly="1" grandRow="1" outline="0" fieldPosition="0"/>
    </format>
    <format dxfId="83">
      <pivotArea dataOnly="0" labelOnly="1" outline="0" axis="axisValues" fieldPosition="0"/>
    </format>
    <format dxfId="82">
      <pivotArea grandRow="1" outline="0" collapsedLevelsAreSubtotals="1" fieldPosition="0"/>
    </format>
    <format dxfId="81">
      <pivotArea dataOnly="0" labelOnly="1" grandRow="1" outline="0" fieldPosition="0"/>
    </format>
  </formats>
  <chartFormats count="6">
    <chartFormat chart="3" format="15" series="1">
      <pivotArea type="data" outline="0" fieldPosition="0">
        <references count="1">
          <reference field="4294967294" count="1" selected="0">
            <x v="0"/>
          </reference>
        </references>
      </pivotArea>
    </chartFormat>
    <chartFormat chart="3" format="16">
      <pivotArea type="data" outline="0" fieldPosition="0">
        <references count="2">
          <reference field="4294967294" count="1" selected="0">
            <x v="0"/>
          </reference>
          <reference field="0" count="1" selected="0">
            <x v="0"/>
          </reference>
        </references>
      </pivotArea>
    </chartFormat>
    <chartFormat chart="3" format="17">
      <pivotArea type="data" outline="0" fieldPosition="0">
        <references count="2">
          <reference field="4294967294" count="1" selected="0">
            <x v="0"/>
          </reference>
          <reference field="0" count="1" selected="0">
            <x v="1"/>
          </reference>
        </references>
      </pivotArea>
    </chartFormat>
    <chartFormat chart="3" format="18">
      <pivotArea type="data" outline="0" fieldPosition="0">
        <references count="2">
          <reference field="4294967294" count="1" selected="0">
            <x v="0"/>
          </reference>
          <reference field="0" count="1" selected="0">
            <x v="2"/>
          </reference>
        </references>
      </pivotArea>
    </chartFormat>
    <chartFormat chart="3" format="19">
      <pivotArea type="data" outline="0" fieldPosition="0">
        <references count="2">
          <reference field="4294967294" count="1" selected="0">
            <x v="0"/>
          </reference>
          <reference field="0" count="1" selected="0">
            <x v="3"/>
          </reference>
        </references>
      </pivotArea>
    </chartFormat>
    <chartFormat chart="3" format="20">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1CDB478-6A61-4DD8-BE25-AE2BE7A3334A}" name="TablaDinámica11" cacheId="7"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chartFormat="6" rowHeaderCaption="Concept">
  <location ref="B34:C35" firstHeaderRow="1" firstDataRow="1" firstDataCol="1"/>
  <pivotFields count="10">
    <pivotField showAll="0"/>
    <pivotField showAll="0"/>
    <pivotField showAll="0"/>
    <pivotField showAll="0"/>
    <pivotField showAll="0"/>
    <pivotField showAll="0"/>
    <pivotField showAll="0"/>
    <pivotField dataField="1" showAll="0"/>
    <pivotField axis="axisRow" showAll="0">
      <items count="7">
        <item m="1" x="1"/>
        <item m="1" x="2"/>
        <item m="1" x="5"/>
        <item m="1" x="3"/>
        <item m="1" x="4"/>
        <item h="1" x="0"/>
        <item t="default"/>
      </items>
    </pivotField>
    <pivotField showAll="0"/>
  </pivotFields>
  <rowFields count="1">
    <field x="8"/>
  </rowFields>
  <rowItems count="1">
    <i t="grand">
      <x/>
    </i>
  </rowItems>
  <colItems count="1">
    <i/>
  </colItems>
  <dataFields count="1">
    <dataField name=" TOTAL" fld="7" baseField="0" baseItem="0" numFmtId="175"/>
  </dataFields>
  <formats count="29">
    <format dxfId="144">
      <pivotArea outline="0" collapsedLevelsAreSubtotals="1" fieldPosition="0"/>
    </format>
    <format dxfId="143">
      <pivotArea dataOnly="0" labelOnly="1" outline="0" axis="axisValues" fieldPosition="0"/>
    </format>
    <format dxfId="142">
      <pivotArea grandRow="1" outline="0" collapsedLevelsAreSubtotals="1" fieldPosition="0"/>
    </format>
    <format dxfId="141">
      <pivotArea grandRow="1" outline="0" collapsedLevelsAreSubtotals="1" fieldPosition="0"/>
    </format>
    <format dxfId="140">
      <pivotArea type="all" dataOnly="0" outline="0" fieldPosition="0"/>
    </format>
    <format dxfId="139">
      <pivotArea outline="0" collapsedLevelsAreSubtotals="1" fieldPosition="0"/>
    </format>
    <format dxfId="138">
      <pivotArea dataOnly="0" labelOnly="1" grandRow="1" outline="0" fieldPosition="0"/>
    </format>
    <format dxfId="137">
      <pivotArea dataOnly="0" labelOnly="1" outline="0" axis="axisValues" fieldPosition="0"/>
    </format>
    <format dxfId="136">
      <pivotArea type="all" dataOnly="0" outline="0" fieldPosition="0"/>
    </format>
    <format dxfId="135">
      <pivotArea outline="0" collapsedLevelsAreSubtotals="1" fieldPosition="0"/>
    </format>
    <format dxfId="134">
      <pivotArea dataOnly="0" labelOnly="1" grandRow="1" outline="0" fieldPosition="0"/>
    </format>
    <format dxfId="133">
      <pivotArea dataOnly="0" labelOnly="1" outline="0" axis="axisValues" fieldPosition="0"/>
    </format>
    <format dxfId="132">
      <pivotArea dataOnly="0" labelOnly="1" outline="0" axis="axisValues" fieldPosition="0"/>
    </format>
    <format dxfId="131">
      <pivotArea grandRow="1" outline="0" collapsedLevelsAreSubtotals="1" fieldPosition="0"/>
    </format>
    <format dxfId="130">
      <pivotArea dataOnly="0" labelOnly="1" grandRow="1" outline="0" fieldPosition="0"/>
    </format>
    <format dxfId="129">
      <pivotArea dataOnly="0" labelOnly="1" outline="0" axis="axisValues" fieldPosition="0"/>
    </format>
    <format dxfId="128">
      <pivotArea grandRow="1" outline="0" collapsedLevelsAreSubtotals="1" fieldPosition="0"/>
    </format>
    <format dxfId="127">
      <pivotArea dataOnly="0" labelOnly="1" grandRow="1" outline="0" fieldPosition="0"/>
    </format>
    <format dxfId="126">
      <pivotArea dataOnly="0" labelOnly="1" outline="0" axis="axisValues" fieldPosition="0"/>
    </format>
    <format dxfId="125">
      <pivotArea grandRow="1" outline="0" collapsedLevelsAreSubtotals="1" fieldPosition="0"/>
    </format>
    <format dxfId="124">
      <pivotArea dataOnly="0" labelOnly="1" grandRow="1" outline="0" fieldPosition="0"/>
    </format>
    <format dxfId="123">
      <pivotArea type="all" dataOnly="0" outline="0" fieldPosition="0"/>
    </format>
    <format dxfId="122">
      <pivotArea outline="0" collapsedLevelsAreSubtotals="1" fieldPosition="0"/>
    </format>
    <format dxfId="121">
      <pivotArea dataOnly="0" labelOnly="1" grandRow="1" outline="0" fieldPosition="0"/>
    </format>
    <format dxfId="120">
      <pivotArea dataOnly="0" labelOnly="1" outline="0" axis="axisValues" fieldPosition="0"/>
    </format>
    <format dxfId="119">
      <pivotArea field="8" type="button" dataOnly="0" labelOnly="1" outline="0" axis="axisRow" fieldPosition="0"/>
    </format>
    <format dxfId="118">
      <pivotArea field="8" type="button" dataOnly="0" labelOnly="1" outline="0" axis="axisRow" fieldPosition="0"/>
    </format>
    <format dxfId="117">
      <pivotArea outline="0" collapsedLevelsAreSubtotals="1" fieldPosition="0"/>
    </format>
    <format dxfId="116">
      <pivotArea outline="0" collapsedLevelsAreSubtotals="1" fieldPosition="0"/>
    </format>
  </formats>
  <chartFormats count="1">
    <chartFormat chart="5"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B091094-53E8-4ACC-9DF0-C12D81268A3C}" name="TablaDinámica10" cacheId="7" dataOnRows="1" applyNumberFormats="0" applyBorderFormats="0" applyFontFormats="0" applyPatternFormats="0" applyAlignmentFormats="0" applyWidthHeightFormats="1" dataCaption="Schedule / Risk" grandTotalCaption="TOTAL " updatedVersion="8" minRefreshableVersion="3" itemPrintTitles="1" createdVersion="8" indent="0" outline="1" outlineData="1" multipleFieldFilters="0" chartFormat="15" colHeaderCaption=" ">
  <location ref="B5:C12" firstHeaderRow="1" firstDataRow="2" firstDataCol="1"/>
  <pivotFields count="10">
    <pivotField axis="axisCol" showAll="0">
      <items count="6">
        <item m="1" x="4"/>
        <item m="1" x="3"/>
        <item m="1" x="2"/>
        <item m="1" x="1"/>
        <item h="1" x="0"/>
        <item t="default"/>
      </items>
    </pivotField>
    <pivotField showAll="0"/>
    <pivotField dataField="1" showAll="0"/>
    <pivotField dataField="1" showAll="0"/>
    <pivotField dataField="1" showAll="0"/>
    <pivotField dataField="1" showAll="0"/>
    <pivotField dataField="1" showAll="0"/>
    <pivotField dataField="1" showAll="0"/>
    <pivotField showAll="0"/>
    <pivotField showAll="0"/>
  </pivotFields>
  <rowFields count="1">
    <field x="-2"/>
  </rowFields>
  <rowItems count="6">
    <i>
      <x/>
    </i>
    <i i="1">
      <x v="1"/>
    </i>
    <i i="2">
      <x v="2"/>
    </i>
    <i i="3">
      <x v="3"/>
    </i>
    <i i="4">
      <x v="4"/>
    </i>
    <i i="5">
      <x v="5"/>
    </i>
  </rowItems>
  <colFields count="1">
    <field x="0"/>
  </colFields>
  <colItems count="1">
    <i t="grand">
      <x/>
    </i>
  </colItems>
  <dataFields count="6">
    <dataField name=" SHORT TERM_x000a_(0-2 YEARS)" fld="2" baseField="0" baseItem="0"/>
    <dataField name=" MEDIUM TERM_x000a_(3-5 YEARS)" fld="3" baseField="0" baseItem="0"/>
    <dataField name=" LONG TERM_x000a_(6-10 YEARS)" fld="4" baseField="0" baseItem="0"/>
    <dataField name=" IMPROVEMENTS" fld="5" baseField="0" baseItem="0"/>
    <dataField name=" OTHER" fld="6" baseField="0" baseItem="0"/>
    <dataField name=" TOTAL" fld="7" baseField="0" baseItem="0"/>
  </dataFields>
  <formats count="50">
    <format dxfId="194">
      <pivotArea outline="0" collapsedLevelsAreSubtotals="1" fieldPosition="0"/>
    </format>
    <format dxfId="193">
      <pivotArea outline="0" collapsedLevelsAreSubtotals="1" fieldPosition="0"/>
    </format>
    <format dxfId="192">
      <pivotArea dataOnly="0" labelOnly="1" grandCol="1" outline="0" fieldPosition="0"/>
    </format>
    <format dxfId="191">
      <pivotArea outline="0" collapsedLevelsAreSubtotals="1" fieldPosition="0"/>
    </format>
    <format dxfId="190">
      <pivotArea dataOnly="0" labelOnly="1" grandCol="1" outline="0" fieldPosition="0"/>
    </format>
    <format dxfId="189">
      <pivotArea grandCol="1" outline="0" collapsedLevelsAreSubtotals="1" fieldPosition="0"/>
    </format>
    <format dxfId="188">
      <pivotArea dataOnly="0" labelOnly="1" grandCol="1" outline="0" fieldPosition="0"/>
    </format>
    <format dxfId="187">
      <pivotArea type="all" dataOnly="0" outline="0" fieldPosition="0"/>
    </format>
    <format dxfId="186">
      <pivotArea outline="0" collapsedLevelsAreSubtotals="1" fieldPosition="0"/>
    </format>
    <format dxfId="185">
      <pivotArea type="origin" dataOnly="0" labelOnly="1" outline="0" fieldPosition="0"/>
    </format>
    <format dxfId="184">
      <pivotArea type="topRight" dataOnly="0" labelOnly="1" outline="0" fieldPosition="0"/>
    </format>
    <format dxfId="183">
      <pivotArea field="-2" type="button" dataOnly="0" labelOnly="1" outline="0" axis="axisRow" fieldPosition="0"/>
    </format>
    <format dxfId="182">
      <pivotArea dataOnly="0" labelOnly="1" grandCol="1" outline="0" fieldPosition="0"/>
    </format>
    <format dxfId="181">
      <pivotArea type="all" dataOnly="0" outline="0" fieldPosition="0"/>
    </format>
    <format dxfId="180">
      <pivotArea outline="0" collapsedLevelsAreSubtotals="1" fieldPosition="0"/>
    </format>
    <format dxfId="179">
      <pivotArea type="origin" dataOnly="0" labelOnly="1" outline="0" fieldPosition="0"/>
    </format>
    <format dxfId="178">
      <pivotArea type="topRight" dataOnly="0" labelOnly="1" outline="0" fieldPosition="0"/>
    </format>
    <format dxfId="177">
      <pivotArea field="-2" type="button" dataOnly="0" labelOnly="1" outline="0" axis="axisRow" fieldPosition="0"/>
    </format>
    <format dxfId="176">
      <pivotArea dataOnly="0" labelOnly="1" grandCol="1" outline="0" fieldPosition="0"/>
    </format>
    <format dxfId="175">
      <pivotArea type="origin" dataOnly="0" labelOnly="1" outline="0" fieldPosition="0"/>
    </format>
    <format dxfId="174">
      <pivotArea type="topRight" dataOnly="0" labelOnly="1" outline="0" fieldPosition="0"/>
    </format>
    <format dxfId="173">
      <pivotArea field="-2" type="button" dataOnly="0" labelOnly="1" outline="0" axis="axisRow" fieldPosition="0"/>
    </format>
    <format dxfId="172">
      <pivotArea dataOnly="0" labelOnly="1" grandCol="1" outline="0" fieldPosition="0"/>
    </format>
    <format dxfId="171">
      <pivotArea type="origin" dataOnly="0" labelOnly="1" outline="0" fieldPosition="0"/>
    </format>
    <format dxfId="170">
      <pivotArea field="-2" type="button" dataOnly="0" labelOnly="1" outline="0" axis="axisRow" fieldPosition="0"/>
    </format>
    <format dxfId="169">
      <pivotArea type="topRight" dataOnly="0" labelOnly="1" outline="0" offset="D1" fieldPosition="0"/>
    </format>
    <format dxfId="168">
      <pivotArea grandCol="1" outline="0" collapsedLevelsAreSubtotals="1" fieldPosition="0"/>
    </format>
    <format dxfId="167">
      <pivotArea dataOnly="0" labelOnly="1" grandCol="1" outline="0" fieldPosition="0"/>
    </format>
    <format dxfId="166">
      <pivotArea field="-2" type="button" dataOnly="0" labelOnly="1" outline="0" axis="axisRow" fieldPosition="0"/>
    </format>
    <format dxfId="165">
      <pivotArea dataOnly="0" labelOnly="1" grandCol="1" outline="0" fieldPosition="0"/>
    </format>
    <format dxfId="164">
      <pivotArea field="-2" type="button" dataOnly="0" labelOnly="1" outline="0" axis="axisRow" fieldPosition="0"/>
    </format>
    <format dxfId="163">
      <pivotArea dataOnly="0" labelOnly="1" grandCol="1" outline="0" fieldPosition="0"/>
    </format>
    <format dxfId="162">
      <pivotArea type="all" dataOnly="0" outline="0" fieldPosition="0"/>
    </format>
    <format dxfId="161">
      <pivotArea outline="0" collapsedLevelsAreSubtotals="1" fieldPosition="0"/>
    </format>
    <format dxfId="160">
      <pivotArea type="origin" dataOnly="0" labelOnly="1" outline="0" fieldPosition="0"/>
    </format>
    <format dxfId="159">
      <pivotArea type="topRight" dataOnly="0" labelOnly="1" outline="0" fieldPosition="0"/>
    </format>
    <format dxfId="158">
      <pivotArea field="-2" type="button" dataOnly="0" labelOnly="1" outline="0" axis="axisRow" fieldPosition="0"/>
    </format>
    <format dxfId="157">
      <pivotArea dataOnly="0" labelOnly="1" grandCol="1" outline="0" fieldPosition="0"/>
    </format>
    <format dxfId="156">
      <pivotArea dataOnly="0" labelOnly="1" fieldPosition="0">
        <references count="1">
          <reference field="0" count="0"/>
        </references>
      </pivotArea>
    </format>
    <format dxfId="155">
      <pivotArea dataOnly="0" labelOnly="1" fieldPosition="0">
        <references count="1">
          <reference field="0" count="0"/>
        </references>
      </pivotArea>
    </format>
    <format dxfId="154">
      <pivotArea field="-2" type="button" dataOnly="0" labelOnly="1" outline="0" axis="axisRow" fieldPosition="0"/>
    </format>
    <format dxfId="153">
      <pivotArea dataOnly="0" labelOnly="1" fieldPosition="0">
        <references count="1">
          <reference field="0" count="0"/>
        </references>
      </pivotArea>
    </format>
    <format dxfId="152">
      <pivotArea dataOnly="0" labelOnly="1" grandCol="1" outline="0" fieldPosition="0"/>
    </format>
    <format dxfId="151">
      <pivotArea dataOnly="0" labelOnly="1" fieldPosition="0">
        <references count="1">
          <reference field="0" count="0"/>
        </references>
      </pivotArea>
    </format>
    <format dxfId="150">
      <pivotArea collapsedLevelsAreSubtotals="1" fieldPosition="0">
        <references count="1">
          <reference field="4294967294" count="1">
            <x v="5"/>
          </reference>
        </references>
      </pivotArea>
    </format>
    <format dxfId="149">
      <pivotArea dataOnly="0" labelOnly="1" outline="0" fieldPosition="0">
        <references count="1">
          <reference field="4294967294" count="1">
            <x v="5"/>
          </reference>
        </references>
      </pivotArea>
    </format>
    <format dxfId="148">
      <pivotArea collapsedLevelsAreSubtotals="1" fieldPosition="0">
        <references count="1">
          <reference field="4294967294" count="1">
            <x v="5"/>
          </reference>
        </references>
      </pivotArea>
    </format>
    <format dxfId="147">
      <pivotArea dataOnly="0" labelOnly="1" outline="0" fieldPosition="0">
        <references count="1">
          <reference field="4294967294" count="1">
            <x v="5"/>
          </reference>
        </references>
      </pivotArea>
    </format>
    <format dxfId="146">
      <pivotArea collapsedLevelsAreSubtotals="1" fieldPosition="0">
        <references count="1">
          <reference field="4294967294" count="1">
            <x v="5"/>
          </reference>
        </references>
      </pivotArea>
    </format>
    <format dxfId="145">
      <pivotArea dataOnly="0" labelOnly="1" outline="0" fieldPosition="0">
        <references count="1">
          <reference field="4294967294" count="1">
            <x v="5"/>
          </reference>
        </references>
      </pivotArea>
    </format>
  </formats>
  <chartFormats count="6">
    <chartFormat chart="14" format="30" series="1">
      <pivotArea type="data" outline="0" fieldPosition="0">
        <references count="1">
          <reference field="4294967294" count="1" selected="0">
            <x v="0"/>
          </reference>
        </references>
      </pivotArea>
    </chartFormat>
    <chartFormat chart="14" format="31" series="1">
      <pivotArea type="data" outline="0" fieldPosition="0">
        <references count="2">
          <reference field="4294967294" count="1" selected="0">
            <x v="0"/>
          </reference>
          <reference field="0" count="1" selected="0">
            <x v="1"/>
          </reference>
        </references>
      </pivotArea>
    </chartFormat>
    <chartFormat chart="14" format="32" series="1">
      <pivotArea type="data" outline="0" fieldPosition="0">
        <references count="2">
          <reference field="4294967294" count="1" selected="0">
            <x v="0"/>
          </reference>
          <reference field="0" count="1" selected="0">
            <x v="2"/>
          </reference>
        </references>
      </pivotArea>
    </chartFormat>
    <chartFormat chart="14" format="33" series="1">
      <pivotArea type="data" outline="0" fieldPosition="0">
        <references count="2">
          <reference field="4294967294" count="1" selected="0">
            <x v="0"/>
          </reference>
          <reference field="0" count="1" selected="0">
            <x v="3"/>
          </reference>
        </references>
      </pivotArea>
    </chartFormat>
    <chartFormat chart="14" format="34" series="1">
      <pivotArea type="data" outline="0" fieldPosition="0">
        <references count="2">
          <reference field="4294967294" count="1" selected="0">
            <x v="0"/>
          </reference>
          <reference field="0" count="1" selected="0">
            <x v="4"/>
          </reference>
        </references>
      </pivotArea>
    </chartFormat>
    <chartFormat chart="14" format="35" series="1">
      <pivotArea type="data" outline="0" fieldPosition="0">
        <references count="2">
          <reference field="4294967294" count="1" selected="0">
            <x v="0"/>
          </reference>
          <reference field="0"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14D25A3-94AA-45AB-9436-EC96FC9796FC}" name="TablaDinámica14" cacheId="7"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chartFormat="3" rowHeaderCaption="Tenant">
  <location ref="M6:N7" firstHeaderRow="1" firstDataRow="1" firstDataCol="1"/>
  <pivotFields count="10">
    <pivotField showAll="0"/>
    <pivotField showAll="0"/>
    <pivotField showAll="0"/>
    <pivotField showAll="0"/>
    <pivotField showAll="0"/>
    <pivotField showAll="0"/>
    <pivotField showAll="0"/>
    <pivotField dataField="1" showAll="0"/>
    <pivotField showAll="0"/>
    <pivotField axis="axisRow" showAll="0">
      <items count="4">
        <item m="1" x="2"/>
        <item m="1" x="1"/>
        <item h="1" x="0"/>
        <item t="default"/>
      </items>
    </pivotField>
  </pivotFields>
  <rowFields count="1">
    <field x="9"/>
  </rowFields>
  <rowItems count="1">
    <i t="grand">
      <x/>
    </i>
  </rowItems>
  <colItems count="1">
    <i/>
  </colItems>
  <dataFields count="1">
    <dataField name=" TOTAL" fld="7" baseField="0" baseItem="0"/>
  </dataFields>
  <formats count="30">
    <format dxfId="224">
      <pivotArea outline="0" collapsedLevelsAreSubtotals="1" fieldPosition="0"/>
    </format>
    <format dxfId="223">
      <pivotArea type="all" dataOnly="0" outline="0" fieldPosition="0"/>
    </format>
    <format dxfId="222">
      <pivotArea outline="0" collapsedLevelsAreSubtotals="1" fieldPosition="0"/>
    </format>
    <format dxfId="221">
      <pivotArea dataOnly="0" labelOnly="1" grandRow="1" outline="0" fieldPosition="0"/>
    </format>
    <format dxfId="220">
      <pivotArea dataOnly="0" labelOnly="1" outline="0" axis="axisValues" fieldPosition="0"/>
    </format>
    <format dxfId="219">
      <pivotArea outline="0" collapsedLevelsAreSubtotals="1" fieldPosition="0"/>
    </format>
    <format dxfId="218">
      <pivotArea dataOnly="0" labelOnly="1" outline="0" axis="axisValues" fieldPosition="0"/>
    </format>
    <format dxfId="217">
      <pivotArea type="all" dataOnly="0" outline="0" fieldPosition="0"/>
    </format>
    <format dxfId="216">
      <pivotArea outline="0" collapsedLevelsAreSubtotals="1" fieldPosition="0"/>
    </format>
    <format dxfId="215">
      <pivotArea dataOnly="0" labelOnly="1" grandRow="1" outline="0" fieldPosition="0"/>
    </format>
    <format dxfId="214">
      <pivotArea dataOnly="0" labelOnly="1" outline="0" axis="axisValues" fieldPosition="0"/>
    </format>
    <format dxfId="213">
      <pivotArea dataOnly="0" labelOnly="1" outline="0" axis="axisValues" fieldPosition="0"/>
    </format>
    <format dxfId="212">
      <pivotArea grandRow="1" outline="0" collapsedLevelsAreSubtotals="1" fieldPosition="0"/>
    </format>
    <format dxfId="211">
      <pivotArea dataOnly="0" labelOnly="1" grandRow="1" outline="0" fieldPosition="0"/>
    </format>
    <format dxfId="210">
      <pivotArea type="all" dataOnly="0" outline="0" fieldPosition="0"/>
    </format>
    <format dxfId="209">
      <pivotArea outline="0" collapsedLevelsAreSubtotals="1" fieldPosition="0"/>
    </format>
    <format dxfId="208">
      <pivotArea dataOnly="0" labelOnly="1" grandRow="1" outline="0" fieldPosition="0"/>
    </format>
    <format dxfId="207">
      <pivotArea dataOnly="0" labelOnly="1" outline="0" axis="axisValues" fieldPosition="0"/>
    </format>
    <format dxfId="206">
      <pivotArea grandRow="1" outline="0" collapsedLevelsAreSubtotals="1" fieldPosition="0"/>
    </format>
    <format dxfId="205">
      <pivotArea dataOnly="0" labelOnly="1" grandRow="1" outline="0" fieldPosition="0"/>
    </format>
    <format dxfId="204">
      <pivotArea dataOnly="0" labelOnly="1" outline="0" axis="axisValues" fieldPosition="0"/>
    </format>
    <format dxfId="203">
      <pivotArea grandRow="1" outline="0" collapsedLevelsAreSubtotals="1" fieldPosition="0"/>
    </format>
    <format dxfId="202">
      <pivotArea dataOnly="0" labelOnly="1" grandRow="1" outline="0" fieldPosition="0"/>
    </format>
    <format dxfId="201">
      <pivotArea dataOnly="0" labelOnly="1" outline="0" axis="axisValues" fieldPosition="0"/>
    </format>
    <format dxfId="200">
      <pivotArea type="all" dataOnly="0" outline="0" fieldPosition="0"/>
    </format>
    <format dxfId="199">
      <pivotArea outline="0" collapsedLevelsAreSubtotals="1" fieldPosition="0"/>
    </format>
    <format dxfId="198">
      <pivotArea dataOnly="0" labelOnly="1" grandRow="1" outline="0" fieldPosition="0"/>
    </format>
    <format dxfId="197">
      <pivotArea dataOnly="0" labelOnly="1" outline="0" axis="axisValues" fieldPosition="0"/>
    </format>
    <format dxfId="196">
      <pivotArea field="9" type="button" dataOnly="0" labelOnly="1" outline="0" axis="axisRow" fieldPosition="0"/>
    </format>
    <format dxfId="195">
      <pivotArea field="9" type="button" dataOnly="0" labelOnly="1" outline="0" axis="axisRow" fieldPosition="0"/>
    </format>
  </formats>
  <chartFormats count="4">
    <chartFormat chart="2" format="9" series="1">
      <pivotArea type="data" outline="0" fieldPosition="0">
        <references count="1">
          <reference field="4294967294" count="1" selected="0">
            <x v="0"/>
          </reference>
        </references>
      </pivotArea>
    </chartFormat>
    <chartFormat chart="2" format="10">
      <pivotArea type="data" outline="0" fieldPosition="0">
        <references count="2">
          <reference field="4294967294" count="1" selected="0">
            <x v="0"/>
          </reference>
          <reference field="9" count="1" selected="0">
            <x v="1"/>
          </reference>
        </references>
      </pivotArea>
    </chartFormat>
    <chartFormat chart="2" format="11">
      <pivotArea type="data" outline="0" fieldPosition="0">
        <references count="2">
          <reference field="4294967294" count="1" selected="0">
            <x v="0"/>
          </reference>
          <reference field="9" count="1" selected="0">
            <x v="0"/>
          </reference>
        </references>
      </pivotArea>
    </chartFormat>
    <chartFormat chart="2" format="12">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8" Type="http://schemas.openxmlformats.org/officeDocument/2006/relationships/vmlDrawing" Target="../drawings/vmlDrawing5.vml"/><Relationship Id="rId3" Type="http://schemas.openxmlformats.org/officeDocument/2006/relationships/pivotTable" Target="../pivotTables/pivotTable4.xml"/><Relationship Id="rId7" Type="http://schemas.openxmlformats.org/officeDocument/2006/relationships/drawing" Target="../drawings/drawing2.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rinterSettings" Target="../printerSettings/printerSettings7.bin"/><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AB88C-8AE3-4D12-9EDE-C49AACF6F8C7}">
  <sheetPr>
    <tabColor theme="0" tint="-0.499984740745262"/>
  </sheetPr>
  <dimension ref="A2:J21"/>
  <sheetViews>
    <sheetView showGridLines="0" zoomScale="85" zoomScaleNormal="85" workbookViewId="0">
      <pane xSplit="2" ySplit="2" topLeftCell="C3" activePane="bottomRight" state="frozen"/>
      <selection activeCell="S20" sqref="C20:S20"/>
      <selection pane="topRight" activeCell="S20" sqref="C20:S20"/>
      <selection pane="bottomLeft" activeCell="S20" sqref="C20:S20"/>
      <selection pane="bottomRight" activeCell="C4" sqref="C4"/>
    </sheetView>
  </sheetViews>
  <sheetFormatPr baseColWidth="10" defaultColWidth="11.44140625" defaultRowHeight="13.8" x14ac:dyDescent="0.3"/>
  <cols>
    <col min="1" max="1" width="4.5546875" style="100" customWidth="1"/>
    <col min="2" max="2" width="10.5546875" style="100" bestFit="1" customWidth="1"/>
    <col min="3" max="3" width="39.5546875" style="100" bestFit="1" customWidth="1"/>
    <col min="4" max="4" width="27.5546875" style="100" bestFit="1" customWidth="1"/>
    <col min="5" max="5" width="16.109375" style="100" customWidth="1"/>
    <col min="6" max="6" width="42" style="100" bestFit="1" customWidth="1"/>
    <col min="7" max="7" width="34.44140625" style="100" bestFit="1" customWidth="1"/>
    <col min="8" max="8" width="11.109375" style="100" bestFit="1" customWidth="1"/>
    <col min="9" max="10" width="1.5546875" style="100" bestFit="1" customWidth="1"/>
    <col min="11" max="11" width="11.44140625" style="100" customWidth="1"/>
    <col min="12" max="12" width="41" style="100" bestFit="1" customWidth="1"/>
    <col min="13" max="13" width="41.5546875" style="100" bestFit="1" customWidth="1"/>
    <col min="14" max="14" width="26.44140625" style="100" bestFit="1" customWidth="1"/>
    <col min="15" max="15" width="36" style="100" bestFit="1" customWidth="1"/>
    <col min="16" max="16" width="41" style="100" bestFit="1" customWidth="1"/>
    <col min="17" max="17" width="42.109375" style="100" bestFit="1" customWidth="1"/>
    <col min="18" max="18" width="27" style="100" bestFit="1" customWidth="1"/>
    <col min="19" max="19" width="36.44140625" style="100" bestFit="1" customWidth="1"/>
    <col min="20" max="20" width="28.88671875" style="100" bestFit="1" customWidth="1"/>
    <col min="21" max="21" width="41.44140625" style="100" bestFit="1" customWidth="1"/>
    <col min="22" max="22" width="11.5546875" style="100" bestFit="1" customWidth="1"/>
    <col min="23" max="23" width="11.44140625" style="100"/>
    <col min="24" max="24" width="11" style="100" bestFit="1" customWidth="1"/>
    <col min="25" max="25" width="9" style="100" bestFit="1" customWidth="1"/>
    <col min="26" max="26" width="11.44140625" style="100" bestFit="1" customWidth="1"/>
    <col min="27" max="27" width="8.5546875" style="100" bestFit="1" customWidth="1"/>
    <col min="28" max="28" width="1.5546875" style="100" bestFit="1" customWidth="1"/>
    <col min="29" max="16384" width="11.44140625" style="100"/>
  </cols>
  <sheetData>
    <row r="2" spans="1:10" x14ac:dyDescent="0.3">
      <c r="C2" s="93" t="s">
        <v>31</v>
      </c>
      <c r="D2" s="99"/>
      <c r="E2" s="99"/>
      <c r="F2" s="99"/>
      <c r="G2" s="99"/>
      <c r="H2" s="99"/>
      <c r="I2" s="99"/>
      <c r="J2" s="99"/>
    </row>
    <row r="3" spans="1:10" ht="27.6" x14ac:dyDescent="0.3">
      <c r="B3" s="94" t="s">
        <v>32</v>
      </c>
      <c r="C3" s="102" t="s">
        <v>20</v>
      </c>
      <c r="D3" s="103" t="s">
        <v>21</v>
      </c>
      <c r="E3" s="104" t="s">
        <v>33</v>
      </c>
      <c r="F3" s="105" t="s">
        <v>34</v>
      </c>
      <c r="G3" s="106" t="s">
        <v>35</v>
      </c>
      <c r="H3" s="107" t="s">
        <v>36</v>
      </c>
      <c r="I3" s="108" t="s">
        <v>12</v>
      </c>
      <c r="J3" s="109"/>
    </row>
    <row r="4" spans="1:10" ht="27.6" x14ac:dyDescent="0.3">
      <c r="C4" s="111" t="s">
        <v>37</v>
      </c>
      <c r="D4" s="111" t="s">
        <v>38</v>
      </c>
      <c r="E4" s="112" t="s">
        <v>39</v>
      </c>
      <c r="F4" s="112" t="s">
        <v>34</v>
      </c>
      <c r="G4" s="112" t="s">
        <v>28</v>
      </c>
      <c r="H4" s="111" t="s">
        <v>2</v>
      </c>
      <c r="I4" s="113" t="s">
        <v>12</v>
      </c>
      <c r="J4" s="113" t="s">
        <v>12</v>
      </c>
    </row>
    <row r="5" spans="1:10" x14ac:dyDescent="0.3">
      <c r="C5" s="111" t="s">
        <v>40</v>
      </c>
      <c r="D5" s="111" t="s">
        <v>41</v>
      </c>
      <c r="E5" s="112" t="s">
        <v>42</v>
      </c>
      <c r="F5" s="112" t="s">
        <v>12</v>
      </c>
      <c r="G5" s="112" t="s">
        <v>12</v>
      </c>
      <c r="H5" s="113" t="s">
        <v>12</v>
      </c>
      <c r="I5" s="109"/>
      <c r="J5" s="109"/>
    </row>
    <row r="6" spans="1:10" x14ac:dyDescent="0.3">
      <c r="C6" s="111" t="s">
        <v>43</v>
      </c>
      <c r="D6" s="111" t="s">
        <v>44</v>
      </c>
      <c r="E6" s="112" t="s">
        <v>12</v>
      </c>
      <c r="F6" s="114"/>
      <c r="G6" s="114"/>
      <c r="H6" s="109"/>
    </row>
    <row r="7" spans="1:10" x14ac:dyDescent="0.3">
      <c r="C7" s="111" t="s">
        <v>45</v>
      </c>
      <c r="D7" s="113" t="s">
        <v>12</v>
      </c>
      <c r="E7" s="114"/>
    </row>
    <row r="8" spans="1:10" x14ac:dyDescent="0.3">
      <c r="C8" s="111" t="s">
        <v>46</v>
      </c>
      <c r="D8" s="109"/>
      <c r="E8" s="115"/>
    </row>
    <row r="9" spans="1:10" x14ac:dyDescent="0.3">
      <c r="C9" s="111" t="s">
        <v>47</v>
      </c>
      <c r="D9" s="115"/>
      <c r="E9" s="115"/>
    </row>
    <row r="10" spans="1:10" x14ac:dyDescent="0.3">
      <c r="C10" s="111" t="s">
        <v>48</v>
      </c>
      <c r="D10" s="115"/>
      <c r="E10" s="115"/>
    </row>
    <row r="11" spans="1:10" x14ac:dyDescent="0.3">
      <c r="C11" s="111" t="s">
        <v>23</v>
      </c>
      <c r="D11" s="115"/>
      <c r="E11" s="115"/>
    </row>
    <row r="12" spans="1:10" x14ac:dyDescent="0.3">
      <c r="C12" s="111" t="s">
        <v>49</v>
      </c>
      <c r="D12" s="115"/>
      <c r="E12" s="115"/>
    </row>
    <row r="13" spans="1:10" x14ac:dyDescent="0.3">
      <c r="C13" s="111" t="s">
        <v>50</v>
      </c>
      <c r="D13" s="115"/>
      <c r="E13" s="115"/>
    </row>
    <row r="14" spans="1:10" x14ac:dyDescent="0.3">
      <c r="C14" s="111" t="s">
        <v>51</v>
      </c>
      <c r="D14" s="115"/>
      <c r="E14" s="115"/>
    </row>
    <row r="15" spans="1:10" ht="27.6" x14ac:dyDescent="0.3">
      <c r="B15" s="115"/>
      <c r="C15" s="111" t="s">
        <v>52</v>
      </c>
      <c r="D15" s="115"/>
      <c r="E15" s="115"/>
    </row>
    <row r="16" spans="1:10" x14ac:dyDescent="0.3">
      <c r="A16" s="115"/>
      <c r="B16" s="115"/>
      <c r="C16" s="111" t="s">
        <v>53</v>
      </c>
      <c r="D16" s="115"/>
      <c r="E16" s="115"/>
    </row>
    <row r="17" spans="1:5" x14ac:dyDescent="0.3">
      <c r="A17" s="115"/>
      <c r="B17" s="115"/>
      <c r="C17" s="111" t="s">
        <v>54</v>
      </c>
      <c r="D17" s="115"/>
      <c r="E17" s="115"/>
    </row>
    <row r="18" spans="1:5" x14ac:dyDescent="0.3">
      <c r="A18" s="115"/>
      <c r="B18" s="115"/>
      <c r="C18" s="111" t="s">
        <v>24</v>
      </c>
      <c r="E18" s="115"/>
    </row>
    <row r="19" spans="1:5" x14ac:dyDescent="0.3">
      <c r="A19" s="115"/>
      <c r="B19" s="115"/>
      <c r="C19" s="111" t="s">
        <v>12</v>
      </c>
      <c r="E19" s="115"/>
    </row>
    <row r="20" spans="1:5" x14ac:dyDescent="0.3">
      <c r="A20" s="115"/>
      <c r="B20" s="115"/>
      <c r="C20" s="109"/>
    </row>
    <row r="21" spans="1:5" x14ac:dyDescent="0.3">
      <c r="A21" s="115"/>
      <c r="B21" s="115"/>
    </row>
  </sheetData>
  <pageMargins left="0.7" right="0.7" top="0.75" bottom="0.75" header="0.3" footer="0.3"/>
  <pageSetup paperSize="9" orientation="portrait" horizontalDpi="300"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EDA1BD-D1F4-4577-B810-847ADCF32E7C}">
  <sheetPr>
    <tabColor theme="0" tint="-0.499984740745262"/>
  </sheetPr>
  <dimension ref="B2:S22"/>
  <sheetViews>
    <sheetView showGridLines="0" zoomScale="85" zoomScaleNormal="85" workbookViewId="0">
      <pane xSplit="2" ySplit="2" topLeftCell="C3" activePane="bottomRight" state="frozen"/>
      <selection pane="topRight" activeCell="C1" sqref="C1"/>
      <selection pane="bottomLeft" activeCell="A3" sqref="A3"/>
      <selection pane="bottomRight" activeCell="Z19" sqref="Z19"/>
    </sheetView>
  </sheetViews>
  <sheetFormatPr baseColWidth="10" defaultRowHeight="14.4" x14ac:dyDescent="0.3"/>
  <cols>
    <col min="1" max="1" width="5.109375" customWidth="1"/>
    <col min="2" max="2" width="45.44140625" bestFit="1" customWidth="1"/>
    <col min="3" max="3" width="31.44140625" customWidth="1"/>
    <col min="4" max="4" width="24.88671875" hidden="1" customWidth="1"/>
    <col min="5" max="5" width="35.88671875" hidden="1" customWidth="1"/>
    <col min="6" max="6" width="30.5546875" hidden="1" customWidth="1"/>
    <col min="7" max="7" width="32" hidden="1" customWidth="1"/>
    <col min="8" max="8" width="25.109375" hidden="1" customWidth="1"/>
    <col min="9" max="9" width="30.88671875" hidden="1" customWidth="1"/>
    <col min="10" max="10" width="20.109375" style="150" hidden="1" customWidth="1"/>
    <col min="11" max="11" width="30.88671875" style="150" hidden="1" customWidth="1"/>
    <col min="12" max="12" width="29" style="150" hidden="1" customWidth="1"/>
    <col min="13" max="13" width="20.88671875" style="150" hidden="1" customWidth="1"/>
    <col min="14" max="14" width="20" style="150" hidden="1" customWidth="1"/>
    <col min="15" max="15" width="15.5546875" style="150" hidden="1" customWidth="1"/>
    <col min="16" max="16" width="16.88671875" style="150" hidden="1" customWidth="1"/>
    <col min="17" max="17" width="7.109375" hidden="1" customWidth="1"/>
    <col min="18" max="18" width="3.88671875" customWidth="1"/>
    <col min="19" max="19" width="5.109375" customWidth="1"/>
  </cols>
  <sheetData>
    <row r="2" spans="2:19" x14ac:dyDescent="0.3">
      <c r="B2" s="93" t="s">
        <v>55</v>
      </c>
      <c r="C2" s="101"/>
      <c r="D2" s="101"/>
      <c r="E2" s="101"/>
      <c r="F2" s="101"/>
      <c r="G2" s="101"/>
      <c r="H2" s="101"/>
      <c r="I2" s="101"/>
      <c r="J2" s="152"/>
      <c r="K2" s="152"/>
      <c r="L2" s="152"/>
      <c r="M2" s="152"/>
      <c r="N2" s="152"/>
      <c r="O2" s="152"/>
      <c r="P2" s="152"/>
      <c r="Q2" s="101"/>
      <c r="R2" s="101"/>
      <c r="S2" s="101"/>
    </row>
    <row r="3" spans="2:19" x14ac:dyDescent="0.3">
      <c r="B3" s="110" t="s">
        <v>37</v>
      </c>
      <c r="C3" s="95" t="s">
        <v>56</v>
      </c>
      <c r="D3" s="95" t="s">
        <v>57</v>
      </c>
      <c r="E3" s="95" t="s">
        <v>58</v>
      </c>
      <c r="F3" s="95" t="s">
        <v>59</v>
      </c>
      <c r="G3" s="95" t="s">
        <v>2</v>
      </c>
      <c r="H3" s="95" t="s">
        <v>12</v>
      </c>
      <c r="I3" s="95" t="s">
        <v>12</v>
      </c>
      <c r="J3" s="95" t="s">
        <v>12</v>
      </c>
      <c r="K3" s="95" t="s">
        <v>12</v>
      </c>
      <c r="L3" s="95" t="s">
        <v>12</v>
      </c>
      <c r="M3" s="95" t="s">
        <v>12</v>
      </c>
      <c r="N3" s="95" t="s">
        <v>12</v>
      </c>
      <c r="O3" s="95" t="s">
        <v>12</v>
      </c>
      <c r="P3" s="95" t="s">
        <v>12</v>
      </c>
      <c r="Q3" s="95" t="s">
        <v>12</v>
      </c>
      <c r="R3" s="95" t="s">
        <v>12</v>
      </c>
      <c r="S3" s="116"/>
    </row>
    <row r="4" spans="2:19" x14ac:dyDescent="0.3">
      <c r="B4" s="110" t="s">
        <v>40</v>
      </c>
      <c r="C4" s="113" t="s">
        <v>60</v>
      </c>
      <c r="D4" s="95" t="s">
        <v>2</v>
      </c>
      <c r="E4" s="95" t="s">
        <v>12</v>
      </c>
      <c r="F4" s="95" t="s">
        <v>12</v>
      </c>
      <c r="G4" s="95" t="s">
        <v>12</v>
      </c>
      <c r="H4" s="95" t="s">
        <v>12</v>
      </c>
      <c r="I4" s="95" t="s">
        <v>12</v>
      </c>
      <c r="J4" s="95" t="s">
        <v>12</v>
      </c>
      <c r="K4" s="95" t="s">
        <v>12</v>
      </c>
      <c r="L4" s="95" t="s">
        <v>12</v>
      </c>
      <c r="M4" s="95" t="s">
        <v>12</v>
      </c>
      <c r="N4" s="95" t="s">
        <v>12</v>
      </c>
      <c r="O4" s="95" t="s">
        <v>12</v>
      </c>
      <c r="P4" s="95" t="s">
        <v>12</v>
      </c>
      <c r="Q4" s="95" t="s">
        <v>12</v>
      </c>
      <c r="R4" s="95" t="s">
        <v>12</v>
      </c>
      <c r="S4" s="116"/>
    </row>
    <row r="5" spans="2:19" x14ac:dyDescent="0.3">
      <c r="B5" s="110" t="s">
        <v>43</v>
      </c>
      <c r="C5" s="113" t="s">
        <v>61</v>
      </c>
      <c r="D5" s="95" t="s">
        <v>2</v>
      </c>
      <c r="E5" s="95" t="s">
        <v>12</v>
      </c>
      <c r="F5" s="95" t="s">
        <v>12</v>
      </c>
      <c r="G5" s="95" t="s">
        <v>12</v>
      </c>
      <c r="H5" s="95" t="s">
        <v>12</v>
      </c>
      <c r="I5" s="95" t="s">
        <v>12</v>
      </c>
      <c r="J5" s="95" t="s">
        <v>12</v>
      </c>
      <c r="K5" s="95" t="s">
        <v>12</v>
      </c>
      <c r="L5" s="95" t="s">
        <v>12</v>
      </c>
      <c r="M5" s="95" t="s">
        <v>12</v>
      </c>
      <c r="N5" s="95" t="s">
        <v>12</v>
      </c>
      <c r="O5" s="95" t="s">
        <v>12</v>
      </c>
      <c r="P5" s="95" t="s">
        <v>12</v>
      </c>
      <c r="Q5" s="95" t="s">
        <v>12</v>
      </c>
      <c r="R5" s="95" t="s">
        <v>12</v>
      </c>
      <c r="S5" s="116"/>
    </row>
    <row r="6" spans="2:19" x14ac:dyDescent="0.3">
      <c r="B6" s="110" t="s">
        <v>45</v>
      </c>
      <c r="C6" s="95" t="s">
        <v>62</v>
      </c>
      <c r="D6" s="95" t="s">
        <v>63</v>
      </c>
      <c r="E6" s="95" t="s">
        <v>64</v>
      </c>
      <c r="F6" s="95" t="s">
        <v>2</v>
      </c>
      <c r="G6" s="95" t="s">
        <v>12</v>
      </c>
      <c r="H6" s="95" t="s">
        <v>12</v>
      </c>
      <c r="I6" s="95" t="s">
        <v>12</v>
      </c>
      <c r="J6" s="95" t="s">
        <v>12</v>
      </c>
      <c r="K6" s="95" t="s">
        <v>12</v>
      </c>
      <c r="L6" s="95" t="s">
        <v>12</v>
      </c>
      <c r="M6" s="95" t="s">
        <v>12</v>
      </c>
      <c r="N6" s="95" t="s">
        <v>12</v>
      </c>
      <c r="O6" s="95" t="s">
        <v>12</v>
      </c>
      <c r="P6" s="95" t="s">
        <v>12</v>
      </c>
      <c r="Q6" s="95" t="s">
        <v>12</v>
      </c>
      <c r="R6" s="95" t="s">
        <v>12</v>
      </c>
      <c r="S6" s="116"/>
    </row>
    <row r="7" spans="2:19" x14ac:dyDescent="0.3">
      <c r="B7" s="110" t="s">
        <v>46</v>
      </c>
      <c r="C7" s="95" t="s">
        <v>65</v>
      </c>
      <c r="D7" s="95" t="s">
        <v>2</v>
      </c>
      <c r="E7" s="95" t="s">
        <v>12</v>
      </c>
      <c r="F7" s="95" t="s">
        <v>12</v>
      </c>
      <c r="G7" s="95" t="s">
        <v>12</v>
      </c>
      <c r="H7" s="95" t="s">
        <v>12</v>
      </c>
      <c r="I7" s="95" t="s">
        <v>12</v>
      </c>
      <c r="J7" s="95" t="s">
        <v>12</v>
      </c>
      <c r="K7" s="95" t="s">
        <v>12</v>
      </c>
      <c r="L7" s="95" t="s">
        <v>12</v>
      </c>
      <c r="M7" s="95" t="s">
        <v>12</v>
      </c>
      <c r="N7" s="95" t="s">
        <v>12</v>
      </c>
      <c r="O7" s="95" t="s">
        <v>12</v>
      </c>
      <c r="P7" s="95" t="s">
        <v>12</v>
      </c>
      <c r="Q7" s="95" t="s">
        <v>12</v>
      </c>
      <c r="R7" s="95" t="s">
        <v>12</v>
      </c>
      <c r="S7" s="116"/>
    </row>
    <row r="8" spans="2:19" ht="27.6" x14ac:dyDescent="0.3">
      <c r="B8" s="110" t="s">
        <v>47</v>
      </c>
      <c r="C8" s="95" t="s">
        <v>66</v>
      </c>
      <c r="D8" s="95" t="s">
        <v>67</v>
      </c>
      <c r="E8" s="95" t="s">
        <v>68</v>
      </c>
      <c r="F8" s="95" t="s">
        <v>69</v>
      </c>
      <c r="G8" s="95" t="s">
        <v>70</v>
      </c>
      <c r="H8" s="95" t="s">
        <v>71</v>
      </c>
      <c r="I8" s="95" t="s">
        <v>72</v>
      </c>
      <c r="J8" s="95" t="s">
        <v>73</v>
      </c>
      <c r="K8" s="95" t="s">
        <v>74</v>
      </c>
      <c r="L8" s="95" t="s">
        <v>2</v>
      </c>
      <c r="M8" s="95" t="s">
        <v>12</v>
      </c>
      <c r="N8" s="95" t="s">
        <v>12</v>
      </c>
      <c r="O8" s="95" t="s">
        <v>12</v>
      </c>
      <c r="P8" s="95" t="s">
        <v>12</v>
      </c>
      <c r="Q8" s="95" t="s">
        <v>12</v>
      </c>
      <c r="R8" s="95" t="s">
        <v>12</v>
      </c>
      <c r="S8" s="116"/>
    </row>
    <row r="9" spans="2:19" x14ac:dyDescent="0.3">
      <c r="B9" s="110" t="s">
        <v>48</v>
      </c>
      <c r="C9" s="95" t="s">
        <v>75</v>
      </c>
      <c r="D9" s="95" t="s">
        <v>76</v>
      </c>
      <c r="E9" s="95" t="s">
        <v>77</v>
      </c>
      <c r="F9" s="95" t="s">
        <v>78</v>
      </c>
      <c r="G9" s="95" t="s">
        <v>79</v>
      </c>
      <c r="H9" s="95" t="s">
        <v>80</v>
      </c>
      <c r="I9" s="95" t="s">
        <v>81</v>
      </c>
      <c r="J9" s="95" t="s">
        <v>82</v>
      </c>
      <c r="K9" s="95" t="s">
        <v>83</v>
      </c>
      <c r="L9" s="95" t="s">
        <v>2</v>
      </c>
      <c r="M9" s="95" t="s">
        <v>12</v>
      </c>
      <c r="N9" s="95" t="s">
        <v>12</v>
      </c>
      <c r="O9" s="95" t="s">
        <v>12</v>
      </c>
      <c r="P9" s="95" t="s">
        <v>12</v>
      </c>
      <c r="Q9" s="95" t="s">
        <v>12</v>
      </c>
      <c r="R9" s="95" t="s">
        <v>12</v>
      </c>
      <c r="S9" s="116"/>
    </row>
    <row r="10" spans="2:19" x14ac:dyDescent="0.3">
      <c r="B10" s="110" t="s">
        <v>23</v>
      </c>
      <c r="C10" s="95" t="s">
        <v>84</v>
      </c>
      <c r="D10" s="95" t="s">
        <v>85</v>
      </c>
      <c r="E10" s="95" t="s">
        <v>86</v>
      </c>
      <c r="F10" s="95" t="s">
        <v>87</v>
      </c>
      <c r="G10" s="95" t="s">
        <v>88</v>
      </c>
      <c r="H10" s="95" t="s">
        <v>89</v>
      </c>
      <c r="I10" s="95" t="s">
        <v>90</v>
      </c>
      <c r="J10" s="95" t="s">
        <v>91</v>
      </c>
      <c r="K10" s="95" t="s">
        <v>92</v>
      </c>
      <c r="L10" s="95" t="s">
        <v>2</v>
      </c>
      <c r="M10" s="95" t="s">
        <v>12</v>
      </c>
      <c r="N10" s="95" t="s">
        <v>12</v>
      </c>
      <c r="O10" s="95" t="s">
        <v>12</v>
      </c>
      <c r="P10" s="95" t="s">
        <v>12</v>
      </c>
      <c r="Q10" s="95" t="s">
        <v>12</v>
      </c>
      <c r="R10" s="95" t="s">
        <v>12</v>
      </c>
      <c r="S10" s="116"/>
    </row>
    <row r="11" spans="2:19" ht="27.6" x14ac:dyDescent="0.3">
      <c r="B11" s="110" t="s">
        <v>49</v>
      </c>
      <c r="C11" s="95" t="s">
        <v>93</v>
      </c>
      <c r="D11" s="95" t="s">
        <v>94</v>
      </c>
      <c r="E11" s="95" t="s">
        <v>95</v>
      </c>
      <c r="F11" s="95" t="s">
        <v>96</v>
      </c>
      <c r="G11" s="95" t="s">
        <v>97</v>
      </c>
      <c r="H11" s="95" t="s">
        <v>98</v>
      </c>
      <c r="I11" s="95" t="s">
        <v>99</v>
      </c>
      <c r="J11" s="95" t="s">
        <v>100</v>
      </c>
      <c r="K11" s="95" t="s">
        <v>0</v>
      </c>
      <c r="L11" s="95" t="s">
        <v>101</v>
      </c>
      <c r="M11" s="95" t="s">
        <v>102</v>
      </c>
      <c r="N11" s="95" t="s">
        <v>103</v>
      </c>
      <c r="O11" s="95" t="s">
        <v>104</v>
      </c>
      <c r="P11" s="95" t="s">
        <v>105</v>
      </c>
      <c r="Q11" s="95" t="s">
        <v>2</v>
      </c>
      <c r="R11" s="95" t="s">
        <v>12</v>
      </c>
      <c r="S11" s="116"/>
    </row>
    <row r="12" spans="2:19" x14ac:dyDescent="0.3">
      <c r="B12" s="110" t="s">
        <v>50</v>
      </c>
      <c r="C12" s="95" t="s">
        <v>106</v>
      </c>
      <c r="D12" s="95" t="s">
        <v>107</v>
      </c>
      <c r="E12" s="95" t="s">
        <v>108</v>
      </c>
      <c r="F12" s="95" t="s">
        <v>109</v>
      </c>
      <c r="G12" s="95" t="s">
        <v>110</v>
      </c>
      <c r="H12" s="95" t="s">
        <v>111</v>
      </c>
      <c r="I12" s="95" t="s">
        <v>112</v>
      </c>
      <c r="J12" s="95" t="s">
        <v>113</v>
      </c>
      <c r="K12" s="95" t="s">
        <v>114</v>
      </c>
      <c r="L12" s="95" t="s">
        <v>115</v>
      </c>
      <c r="M12" s="95" t="s">
        <v>116</v>
      </c>
      <c r="N12" s="95" t="s">
        <v>117</v>
      </c>
      <c r="O12" s="95" t="s">
        <v>118</v>
      </c>
      <c r="P12" s="95" t="s">
        <v>2</v>
      </c>
      <c r="Q12" s="95" t="s">
        <v>12</v>
      </c>
      <c r="R12" s="95" t="s">
        <v>12</v>
      </c>
      <c r="S12" s="116"/>
    </row>
    <row r="13" spans="2:19" x14ac:dyDescent="0.3">
      <c r="B13" s="110" t="s">
        <v>51</v>
      </c>
      <c r="C13" s="95" t="s">
        <v>119</v>
      </c>
      <c r="D13" s="95" t="s">
        <v>120</v>
      </c>
      <c r="E13" s="95" t="s">
        <v>121</v>
      </c>
      <c r="F13" s="95" t="s">
        <v>122</v>
      </c>
      <c r="G13" s="95" t="s">
        <v>123</v>
      </c>
      <c r="H13" s="95" t="s">
        <v>124</v>
      </c>
      <c r="I13" s="95" t="s">
        <v>125</v>
      </c>
      <c r="J13" s="95" t="s">
        <v>2</v>
      </c>
      <c r="K13" s="95" t="s">
        <v>12</v>
      </c>
      <c r="L13" s="95" t="s">
        <v>12</v>
      </c>
      <c r="M13" s="95" t="s">
        <v>12</v>
      </c>
      <c r="N13" s="95" t="s">
        <v>12</v>
      </c>
      <c r="O13" s="95" t="s">
        <v>12</v>
      </c>
      <c r="P13" s="95" t="s">
        <v>12</v>
      </c>
      <c r="Q13" s="95" t="s">
        <v>12</v>
      </c>
      <c r="R13" s="95" t="s">
        <v>12</v>
      </c>
      <c r="S13" s="116"/>
    </row>
    <row r="14" spans="2:19" ht="27.6" x14ac:dyDescent="0.3">
      <c r="B14" s="110" t="s">
        <v>52</v>
      </c>
      <c r="C14" s="95" t="s">
        <v>126</v>
      </c>
      <c r="D14" s="95" t="s">
        <v>127</v>
      </c>
      <c r="E14" s="95" t="s">
        <v>128</v>
      </c>
      <c r="F14" s="95" t="s">
        <v>129</v>
      </c>
      <c r="G14" s="95" t="s">
        <v>130</v>
      </c>
      <c r="H14" s="95" t="s">
        <v>2</v>
      </c>
      <c r="I14" s="95" t="s">
        <v>12</v>
      </c>
      <c r="J14" s="95" t="s">
        <v>12</v>
      </c>
      <c r="K14" s="95" t="s">
        <v>12</v>
      </c>
      <c r="L14" s="95" t="s">
        <v>12</v>
      </c>
      <c r="M14" s="95" t="s">
        <v>12</v>
      </c>
      <c r="N14" s="95" t="s">
        <v>12</v>
      </c>
      <c r="O14" s="95" t="s">
        <v>12</v>
      </c>
      <c r="P14" s="95" t="s">
        <v>12</v>
      </c>
      <c r="Q14" s="95" t="s">
        <v>12</v>
      </c>
      <c r="R14" s="95" t="s">
        <v>12</v>
      </c>
      <c r="S14" s="116"/>
    </row>
    <row r="15" spans="2:19" x14ac:dyDescent="0.3">
      <c r="B15" s="110" t="s">
        <v>53</v>
      </c>
      <c r="C15" s="95" t="s">
        <v>131</v>
      </c>
      <c r="D15" s="95" t="s">
        <v>132</v>
      </c>
      <c r="E15" s="95" t="s">
        <v>133</v>
      </c>
      <c r="F15" s="95" t="s">
        <v>134</v>
      </c>
      <c r="G15" s="95" t="s">
        <v>5</v>
      </c>
      <c r="H15" s="95" t="s">
        <v>2</v>
      </c>
      <c r="I15" s="95" t="s">
        <v>12</v>
      </c>
      <c r="J15" s="95" t="s">
        <v>12</v>
      </c>
      <c r="K15" s="95" t="s">
        <v>12</v>
      </c>
      <c r="L15" s="95" t="s">
        <v>12</v>
      </c>
      <c r="M15" s="95" t="s">
        <v>12</v>
      </c>
      <c r="N15" s="95" t="s">
        <v>12</v>
      </c>
      <c r="O15" s="95" t="s">
        <v>12</v>
      </c>
      <c r="P15" s="95" t="s">
        <v>12</v>
      </c>
      <c r="Q15" s="95" t="s">
        <v>12</v>
      </c>
      <c r="R15" s="95" t="s">
        <v>12</v>
      </c>
      <c r="S15" s="116"/>
    </row>
    <row r="16" spans="2:19" x14ac:dyDescent="0.3">
      <c r="B16" s="110" t="s">
        <v>54</v>
      </c>
      <c r="C16" s="95" t="s">
        <v>15</v>
      </c>
      <c r="D16" s="95" t="s">
        <v>6</v>
      </c>
      <c r="E16" s="95" t="s">
        <v>135</v>
      </c>
      <c r="F16" s="95" t="s">
        <v>136</v>
      </c>
      <c r="G16" s="95" t="s">
        <v>2</v>
      </c>
      <c r="H16" s="95" t="s">
        <v>12</v>
      </c>
      <c r="I16" s="95" t="s">
        <v>12</v>
      </c>
      <c r="J16" s="95" t="s">
        <v>12</v>
      </c>
      <c r="K16" s="95" t="s">
        <v>12</v>
      </c>
      <c r="L16" s="95" t="s">
        <v>12</v>
      </c>
      <c r="M16" s="95" t="s">
        <v>12</v>
      </c>
      <c r="N16" s="95" t="s">
        <v>12</v>
      </c>
      <c r="O16" s="95" t="s">
        <v>12</v>
      </c>
      <c r="P16" s="95" t="s">
        <v>12</v>
      </c>
      <c r="Q16" s="95" t="s">
        <v>12</v>
      </c>
      <c r="R16" s="95" t="s">
        <v>12</v>
      </c>
      <c r="S16" s="116"/>
    </row>
    <row r="17" spans="2:19" x14ac:dyDescent="0.3">
      <c r="B17" s="110" t="s">
        <v>137</v>
      </c>
      <c r="C17" s="95" t="s">
        <v>2</v>
      </c>
      <c r="D17" s="95" t="s">
        <v>12</v>
      </c>
      <c r="E17" s="95" t="s">
        <v>12</v>
      </c>
      <c r="F17" s="95" t="s">
        <v>12</v>
      </c>
      <c r="G17" s="95" t="s">
        <v>12</v>
      </c>
      <c r="H17" s="95" t="s">
        <v>12</v>
      </c>
      <c r="I17" s="95" t="s">
        <v>12</v>
      </c>
      <c r="J17" s="95" t="s">
        <v>12</v>
      </c>
      <c r="K17" s="95" t="s">
        <v>12</v>
      </c>
      <c r="L17" s="95" t="s">
        <v>12</v>
      </c>
      <c r="M17" s="95" t="s">
        <v>12</v>
      </c>
      <c r="N17" s="95" t="s">
        <v>12</v>
      </c>
      <c r="O17" s="95" t="s">
        <v>12</v>
      </c>
      <c r="P17" s="95" t="s">
        <v>12</v>
      </c>
      <c r="Q17" s="95" t="s">
        <v>12</v>
      </c>
      <c r="R17" s="95" t="s">
        <v>12</v>
      </c>
      <c r="S17" s="116"/>
    </row>
    <row r="18" spans="2:19" x14ac:dyDescent="0.3">
      <c r="B18" s="110">
        <f>+'00 Category Data'!V19</f>
        <v>0</v>
      </c>
      <c r="C18" s="95" t="s">
        <v>2</v>
      </c>
      <c r="D18" s="95" t="s">
        <v>12</v>
      </c>
      <c r="E18" s="95" t="s">
        <v>12</v>
      </c>
      <c r="F18" s="95" t="s">
        <v>12</v>
      </c>
      <c r="G18" s="95" t="s">
        <v>12</v>
      </c>
      <c r="H18" s="95" t="s">
        <v>12</v>
      </c>
      <c r="I18" s="95" t="s">
        <v>12</v>
      </c>
      <c r="J18" s="95" t="s">
        <v>12</v>
      </c>
      <c r="K18" s="95" t="s">
        <v>12</v>
      </c>
      <c r="L18" s="95" t="s">
        <v>12</v>
      </c>
      <c r="M18" s="95" t="s">
        <v>12</v>
      </c>
      <c r="N18" s="95" t="s">
        <v>12</v>
      </c>
      <c r="O18" s="95" t="s">
        <v>12</v>
      </c>
      <c r="P18" s="95" t="s">
        <v>12</v>
      </c>
      <c r="Q18" s="95" t="s">
        <v>12</v>
      </c>
      <c r="R18" s="95" t="s">
        <v>12</v>
      </c>
      <c r="S18" s="116"/>
    </row>
    <row r="20" spans="2:19" ht="27.6" x14ac:dyDescent="0.3">
      <c r="B20" s="153" t="s">
        <v>138</v>
      </c>
      <c r="C20" s="113" t="s">
        <v>139</v>
      </c>
      <c r="D20" s="113" t="s">
        <v>140</v>
      </c>
      <c r="E20" s="113" t="s">
        <v>141</v>
      </c>
      <c r="F20" s="113" t="s">
        <v>142</v>
      </c>
      <c r="G20" s="113" t="s">
        <v>143</v>
      </c>
      <c r="H20" s="113" t="s">
        <v>144</v>
      </c>
      <c r="I20" s="113" t="s">
        <v>145</v>
      </c>
      <c r="J20" s="113" t="s">
        <v>146</v>
      </c>
      <c r="K20" s="113" t="s">
        <v>147</v>
      </c>
      <c r="L20" s="113" t="s">
        <v>148</v>
      </c>
      <c r="M20" s="113" t="s">
        <v>149</v>
      </c>
      <c r="N20" s="113" t="s">
        <v>150</v>
      </c>
      <c r="O20" s="113" t="s">
        <v>2</v>
      </c>
      <c r="P20" s="95" t="s">
        <v>12</v>
      </c>
      <c r="Q20" s="95" t="s">
        <v>12</v>
      </c>
      <c r="R20" s="113" t="s">
        <v>12</v>
      </c>
      <c r="S20" s="116"/>
    </row>
    <row r="22" spans="2:19" x14ac:dyDescent="0.3">
      <c r="B22" s="154" t="s">
        <v>151</v>
      </c>
      <c r="C22" s="113" t="s">
        <v>152</v>
      </c>
      <c r="D22" s="113" t="s">
        <v>153</v>
      </c>
      <c r="E22" s="113" t="s">
        <v>154</v>
      </c>
      <c r="F22" s="113" t="s">
        <v>155</v>
      </c>
      <c r="G22" s="113" t="s">
        <v>156</v>
      </c>
      <c r="H22" s="113" t="s">
        <v>157</v>
      </c>
      <c r="I22" s="113" t="s">
        <v>158</v>
      </c>
      <c r="J22" s="113" t="s">
        <v>159</v>
      </c>
      <c r="K22" s="113" t="s">
        <v>160</v>
      </c>
      <c r="L22" s="113" t="s">
        <v>161</v>
      </c>
      <c r="M22" s="113" t="s">
        <v>2</v>
      </c>
      <c r="N22" s="113" t="s">
        <v>12</v>
      </c>
      <c r="O22" s="113" t="s">
        <v>12</v>
      </c>
      <c r="P22" s="95" t="s">
        <v>12</v>
      </c>
      <c r="Q22" s="95" t="s">
        <v>12</v>
      </c>
      <c r="R22" s="113" t="s">
        <v>12</v>
      </c>
      <c r="S22" s="116"/>
    </row>
  </sheetData>
  <pageMargins left="0.7" right="0.7" top="0.75" bottom="0.75" header="0.3" footer="0.3"/>
  <pageSetup paperSize="9" orientation="portrait" horizontalDpi="300"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0000"/>
    <outlinePr summaryBelow="0" summaryRight="0"/>
    <pageSetUpPr fitToPage="1"/>
  </sheetPr>
  <dimension ref="B1:Q81"/>
  <sheetViews>
    <sheetView topLeftCell="C1" zoomScale="85" zoomScaleNormal="85" workbookViewId="0">
      <selection activeCell="I19" sqref="I19"/>
    </sheetView>
  </sheetViews>
  <sheetFormatPr baseColWidth="10" defaultColWidth="11.44140625" defaultRowHeight="15" customHeight="1" outlineLevelRow="1" outlineLevelCol="1" x14ac:dyDescent="0.3"/>
  <cols>
    <col min="1" max="1" width="3.88671875" style="40" customWidth="1"/>
    <col min="2" max="2" width="37.5546875" style="40" customWidth="1"/>
    <col min="3" max="3" width="37.5546875" style="41" customWidth="1"/>
    <col min="4" max="4" width="3.5546875" style="41" customWidth="1"/>
    <col min="5" max="5" width="18.5546875" style="40" customWidth="1"/>
    <col min="6" max="7" width="3.5546875" style="40" customWidth="1"/>
    <col min="8" max="13" width="18.5546875" style="40" customWidth="1" outlineLevel="1"/>
    <col min="14" max="15" width="3.5546875" style="40" customWidth="1"/>
    <col min="16" max="16" width="20.44140625" style="40" customWidth="1" outlineLevel="1"/>
    <col min="17" max="17" width="12.88671875" style="40" customWidth="1" outlineLevel="1"/>
    <col min="18" max="18" width="2.109375" style="40" customWidth="1"/>
    <col min="19" max="16384" width="11.44140625" style="40"/>
  </cols>
  <sheetData>
    <row r="1" spans="2:17" ht="58.5" customHeight="1" x14ac:dyDescent="0.3">
      <c r="B1" s="300" t="s">
        <v>162</v>
      </c>
      <c r="C1" s="300"/>
    </row>
    <row r="2" spans="2:17" ht="10.5" customHeight="1" thickBot="1" x14ac:dyDescent="0.35">
      <c r="B2" s="41"/>
    </row>
    <row r="3" spans="2:17" ht="15" customHeight="1" thickBot="1" x14ac:dyDescent="0.35">
      <c r="B3" s="305" t="s">
        <v>163</v>
      </c>
      <c r="C3" s="306"/>
      <c r="D3" s="42"/>
      <c r="E3" s="74" t="s">
        <v>13</v>
      </c>
      <c r="F3" s="43"/>
      <c r="G3" s="324" t="s">
        <v>164</v>
      </c>
      <c r="H3" s="70" t="s">
        <v>165</v>
      </c>
      <c r="I3" s="70" t="s">
        <v>13</v>
      </c>
      <c r="J3" s="70" t="s">
        <v>14</v>
      </c>
      <c r="K3" s="70" t="s">
        <v>166</v>
      </c>
      <c r="L3" s="70" t="s">
        <v>167</v>
      </c>
      <c r="M3" s="70" t="s">
        <v>168</v>
      </c>
      <c r="O3" s="302" t="s">
        <v>169</v>
      </c>
      <c r="P3" s="70" t="s">
        <v>170</v>
      </c>
      <c r="Q3" s="70" t="s">
        <v>171</v>
      </c>
    </row>
    <row r="4" spans="2:17" ht="15" customHeight="1" thickBot="1" x14ac:dyDescent="0.35">
      <c r="E4" s="73" t="s">
        <v>172</v>
      </c>
      <c r="F4" s="41"/>
      <c r="G4" s="325"/>
      <c r="H4" s="73" t="s">
        <v>172</v>
      </c>
      <c r="I4" s="73" t="s">
        <v>172</v>
      </c>
      <c r="J4" s="73" t="s">
        <v>172</v>
      </c>
      <c r="K4" s="73" t="s">
        <v>172</v>
      </c>
      <c r="L4" s="73" t="s">
        <v>172</v>
      </c>
      <c r="M4" s="73" t="s">
        <v>172</v>
      </c>
      <c r="O4" s="303"/>
      <c r="P4" s="69" t="s">
        <v>173</v>
      </c>
      <c r="Q4" s="71" t="s">
        <v>174</v>
      </c>
    </row>
    <row r="5" spans="2:17" ht="32.4" customHeight="1" x14ac:dyDescent="0.3">
      <c r="B5" s="45" t="s">
        <v>175</v>
      </c>
      <c r="C5" s="46" t="s">
        <v>176</v>
      </c>
      <c r="E5" s="71" t="str">
        <f>INDEX($H5:$M5, MATCH($E$3, $H$3:$M$3, 0))</f>
        <v>Technical Rooms</v>
      </c>
      <c r="F5" s="41"/>
      <c r="G5" s="325"/>
      <c r="H5" s="69" t="s">
        <v>177</v>
      </c>
      <c r="I5" s="69" t="s">
        <v>177</v>
      </c>
      <c r="J5" s="69" t="s">
        <v>177</v>
      </c>
      <c r="K5" s="69" t="s">
        <v>177</v>
      </c>
      <c r="L5" s="69" t="s">
        <v>177</v>
      </c>
      <c r="M5" s="71" t="s">
        <v>12</v>
      </c>
      <c r="O5" s="303"/>
      <c r="P5" s="68" t="s">
        <v>178</v>
      </c>
      <c r="Q5" s="54" t="s">
        <v>10</v>
      </c>
    </row>
    <row r="6" spans="2:17" ht="32.4" customHeight="1" x14ac:dyDescent="0.3">
      <c r="B6" s="45" t="s">
        <v>179</v>
      </c>
      <c r="C6" s="46" t="s">
        <v>176</v>
      </c>
      <c r="E6" s="54" t="str">
        <f>INDEX($H6:$M6, MATCH($E$3, $H$3:$M$3, 0))</f>
        <v>Parking</v>
      </c>
      <c r="F6" s="41"/>
      <c r="G6" s="325"/>
      <c r="H6" s="68" t="s">
        <v>180</v>
      </c>
      <c r="I6" s="68" t="s">
        <v>180</v>
      </c>
      <c r="J6" s="68" t="s">
        <v>180</v>
      </c>
      <c r="K6" s="68" t="s">
        <v>180</v>
      </c>
      <c r="L6" s="68" t="s">
        <v>180</v>
      </c>
      <c r="M6" s="54" t="s">
        <v>12</v>
      </c>
      <c r="O6" s="303"/>
      <c r="P6" s="68" t="s">
        <v>181</v>
      </c>
      <c r="Q6" s="54" t="s">
        <v>11</v>
      </c>
    </row>
    <row r="7" spans="2:17" ht="32.4" customHeight="1" x14ac:dyDescent="0.3">
      <c r="B7" s="45" t="s">
        <v>182</v>
      </c>
      <c r="C7" s="46" t="s">
        <v>176</v>
      </c>
      <c r="D7" s="47"/>
      <c r="E7" s="54" t="str">
        <f>INDEX($H7:$M7, MATCH($E$3, $H$3:$M$3, 0))</f>
        <v>Offices</v>
      </c>
      <c r="F7" s="41"/>
      <c r="G7" s="325"/>
      <c r="H7" s="68" t="s">
        <v>183</v>
      </c>
      <c r="I7" s="68" t="s">
        <v>183</v>
      </c>
      <c r="J7" s="68" t="s">
        <v>183</v>
      </c>
      <c r="K7" s="68" t="s">
        <v>183</v>
      </c>
      <c r="L7" s="68" t="s">
        <v>183</v>
      </c>
      <c r="M7" s="54" t="s">
        <v>12</v>
      </c>
      <c r="O7" s="303"/>
      <c r="P7" s="68" t="s">
        <v>184</v>
      </c>
      <c r="Q7" s="54" t="s">
        <v>12</v>
      </c>
    </row>
    <row r="8" spans="2:17" ht="32.4" customHeight="1" x14ac:dyDescent="0.3">
      <c r="B8" s="45" t="s">
        <v>185</v>
      </c>
      <c r="C8" s="46" t="s">
        <v>176</v>
      </c>
      <c r="E8" s="54" t="str">
        <f>INDEX($H8:$M8, MATCH($E$3, $H$3:$M$3, 0))</f>
        <v>Restrooms</v>
      </c>
      <c r="F8" s="41"/>
      <c r="G8" s="325"/>
      <c r="H8" s="68" t="s">
        <v>186</v>
      </c>
      <c r="I8" s="68" t="s">
        <v>186</v>
      </c>
      <c r="J8" s="68" t="s">
        <v>186</v>
      </c>
      <c r="K8" s="68" t="s">
        <v>186</v>
      </c>
      <c r="L8" s="68" t="s">
        <v>186</v>
      </c>
      <c r="M8" s="54" t="s">
        <v>12</v>
      </c>
      <c r="O8" s="303"/>
      <c r="P8" s="68" t="s">
        <v>187</v>
      </c>
    </row>
    <row r="9" spans="2:17" ht="15" customHeight="1" x14ac:dyDescent="0.3">
      <c r="D9" s="50"/>
      <c r="E9" s="54" t="str">
        <f>INDEX($H9:$M9, MATCH($E$3, $H$3:$M$3, 0))</f>
        <v>Roof</v>
      </c>
      <c r="F9" s="41"/>
      <c r="G9" s="325"/>
      <c r="H9" s="68" t="s">
        <v>60</v>
      </c>
      <c r="I9" s="68" t="s">
        <v>60</v>
      </c>
      <c r="J9" s="68" t="s">
        <v>60</v>
      </c>
      <c r="K9" s="68" t="s">
        <v>60</v>
      </c>
      <c r="L9" s="68" t="s">
        <v>60</v>
      </c>
      <c r="M9" s="54" t="s">
        <v>12</v>
      </c>
      <c r="O9" s="303"/>
      <c r="P9" s="68" t="s">
        <v>188</v>
      </c>
    </row>
    <row r="10" spans="2:17" ht="15" customHeight="1" x14ac:dyDescent="0.3">
      <c r="B10" s="55" t="s">
        <v>189</v>
      </c>
      <c r="C10" s="49" t="s">
        <v>176</v>
      </c>
      <c r="D10" s="50"/>
      <c r="E10" s="54" t="str">
        <f>INDEX($H10:$M10, MATCH($E$3, $H$3:$M$3, 0))</f>
        <v>External areas</v>
      </c>
      <c r="F10" s="41"/>
      <c r="G10" s="325"/>
      <c r="H10" s="68" t="s">
        <v>190</v>
      </c>
      <c r="I10" s="68" t="s">
        <v>190</v>
      </c>
      <c r="J10" s="68" t="s">
        <v>190</v>
      </c>
      <c r="K10" s="68" t="s">
        <v>190</v>
      </c>
      <c r="L10" s="68" t="s">
        <v>190</v>
      </c>
      <c r="M10" s="54" t="s">
        <v>12</v>
      </c>
      <c r="O10" s="303"/>
      <c r="P10" s="68" t="s">
        <v>191</v>
      </c>
    </row>
    <row r="11" spans="2:17" ht="15" customHeight="1" x14ac:dyDescent="0.3">
      <c r="B11" s="55" t="s">
        <v>192</v>
      </c>
      <c r="C11" s="49" t="s">
        <v>176</v>
      </c>
      <c r="D11" s="50"/>
      <c r="E11" s="54" t="str">
        <f>INDEX($H11:$M11, MATCH($E$3, $H$3:$M$3, 0))</f>
        <v>Main lobby</v>
      </c>
      <c r="F11" s="41"/>
      <c r="G11" s="325"/>
      <c r="H11" s="68" t="s">
        <v>193</v>
      </c>
      <c r="I11" s="68" t="s">
        <v>193</v>
      </c>
      <c r="J11" s="68" t="s">
        <v>193</v>
      </c>
      <c r="K11" s="68" t="s">
        <v>193</v>
      </c>
      <c r="L11" s="68" t="s">
        <v>193</v>
      </c>
      <c r="M11" s="54" t="s">
        <v>12</v>
      </c>
      <c r="O11" s="303"/>
      <c r="P11" s="68" t="s">
        <v>30</v>
      </c>
      <c r="Q11" s="41"/>
    </row>
    <row r="12" spans="2:17" ht="15" customHeight="1" x14ac:dyDescent="0.3">
      <c r="B12" s="55" t="s">
        <v>194</v>
      </c>
      <c r="C12" s="49" t="s">
        <v>176</v>
      </c>
      <c r="D12" s="50"/>
      <c r="E12" s="54" t="str">
        <f>INDEX($H12:$M12, MATCH($E$3, $H$3:$M$3, 0))</f>
        <v>Stairwell core</v>
      </c>
      <c r="F12" s="41"/>
      <c r="G12" s="325"/>
      <c r="H12" s="68" t="s">
        <v>195</v>
      </c>
      <c r="I12" s="68" t="s">
        <v>195</v>
      </c>
      <c r="J12" s="68" t="s">
        <v>195</v>
      </c>
      <c r="K12" s="68" t="s">
        <v>195</v>
      </c>
      <c r="L12" s="68" t="s">
        <v>195</v>
      </c>
      <c r="M12" s="54" t="s">
        <v>12</v>
      </c>
      <c r="O12" s="303"/>
      <c r="P12" s="68" t="s">
        <v>196</v>
      </c>
      <c r="Q12" s="41"/>
    </row>
    <row r="13" spans="2:17" ht="15" customHeight="1" x14ac:dyDescent="0.3">
      <c r="B13" s="55" t="s">
        <v>197</v>
      </c>
      <c r="C13" s="49" t="s">
        <v>176</v>
      </c>
      <c r="D13" s="52"/>
      <c r="E13" s="54" t="str">
        <f>INDEX($H13:$M13, MATCH($E$3, $H$3:$M$3, 0))</f>
        <v>Warehouse</v>
      </c>
      <c r="F13" s="41"/>
      <c r="G13" s="325"/>
      <c r="H13" s="68" t="s">
        <v>199</v>
      </c>
      <c r="I13" s="54" t="s">
        <v>198</v>
      </c>
      <c r="J13" s="68" t="s">
        <v>199</v>
      </c>
      <c r="K13" s="68" t="s">
        <v>199</v>
      </c>
      <c r="L13" s="68" t="s">
        <v>199</v>
      </c>
      <c r="M13" s="54" t="s">
        <v>12</v>
      </c>
      <c r="O13" s="303"/>
      <c r="P13" s="68" t="s">
        <v>29</v>
      </c>
      <c r="Q13" s="41"/>
    </row>
    <row r="14" spans="2:17" ht="15" customHeight="1" x14ac:dyDescent="0.3">
      <c r="B14" s="55" t="s">
        <v>200</v>
      </c>
      <c r="C14" s="51" t="s">
        <v>176</v>
      </c>
      <c r="E14" s="54" t="str">
        <f>INDEX($H14:$M14, MATCH($E$3, $H$3:$M$3, 0))</f>
        <v>Changing rooms</v>
      </c>
      <c r="F14" s="41"/>
      <c r="G14" s="325"/>
      <c r="H14" s="68" t="s">
        <v>2</v>
      </c>
      <c r="I14" s="54" t="s">
        <v>201</v>
      </c>
      <c r="J14" s="54" t="s">
        <v>202</v>
      </c>
      <c r="K14" s="54" t="s">
        <v>202</v>
      </c>
      <c r="L14" s="54" t="s">
        <v>202</v>
      </c>
      <c r="M14" s="54" t="s">
        <v>12</v>
      </c>
      <c r="O14" s="303"/>
      <c r="P14" s="68" t="s">
        <v>12</v>
      </c>
      <c r="Q14" s="41"/>
    </row>
    <row r="15" spans="2:17" ht="15" customHeight="1" x14ac:dyDescent="0.3">
      <c r="B15" s="53"/>
      <c r="E15" s="54" t="str">
        <f>INDEX($H15:$M15, MATCH($E$3, $H$3:$M$3, 0))</f>
        <v>General</v>
      </c>
      <c r="F15" s="41"/>
      <c r="G15" s="325"/>
      <c r="H15" s="327" t="s">
        <v>12</v>
      </c>
      <c r="I15" s="326" t="s">
        <v>2</v>
      </c>
      <c r="J15" s="326" t="s">
        <v>203</v>
      </c>
      <c r="K15" s="326" t="s">
        <v>204</v>
      </c>
      <c r="L15" s="326" t="s">
        <v>205</v>
      </c>
      <c r="M15" s="326" t="s">
        <v>12</v>
      </c>
      <c r="O15" s="303"/>
      <c r="P15" s="41"/>
      <c r="Q15" s="41"/>
    </row>
    <row r="16" spans="2:17" ht="15" customHeight="1" x14ac:dyDescent="0.3">
      <c r="B16" s="48" t="s">
        <v>206</v>
      </c>
      <c r="C16" s="51" t="s">
        <v>13</v>
      </c>
      <c r="E16" s="326" t="str">
        <f>INDEX($H16:$M16, MATCH($E$3, $H$3:$M$3, 0))</f>
        <v>-</v>
      </c>
      <c r="F16" s="41"/>
      <c r="G16" s="325"/>
      <c r="H16" s="327" t="s">
        <v>12</v>
      </c>
      <c r="I16" s="326" t="s">
        <v>12</v>
      </c>
      <c r="J16" s="326" t="s">
        <v>207</v>
      </c>
      <c r="K16" s="326" t="s">
        <v>208</v>
      </c>
      <c r="L16" s="326" t="s">
        <v>209</v>
      </c>
      <c r="M16" s="326" t="s">
        <v>12</v>
      </c>
      <c r="O16" s="303"/>
      <c r="P16" s="41"/>
      <c r="Q16" s="41"/>
    </row>
    <row r="17" spans="2:17" ht="15" customHeight="1" x14ac:dyDescent="0.3">
      <c r="B17" s="67"/>
      <c r="E17" s="326" t="str">
        <f>INDEX($H17:$M17, MATCH($E$3, $H$3:$M$3, 0))</f>
        <v>-</v>
      </c>
      <c r="F17" s="41"/>
      <c r="G17" s="325"/>
      <c r="H17" s="327" t="s">
        <v>12</v>
      </c>
      <c r="I17" s="326" t="s">
        <v>12</v>
      </c>
      <c r="J17" s="326" t="s">
        <v>210</v>
      </c>
      <c r="K17" s="326" t="s">
        <v>2</v>
      </c>
      <c r="L17" s="326" t="s">
        <v>210</v>
      </c>
      <c r="M17" s="326" t="s">
        <v>12</v>
      </c>
      <c r="O17" s="303"/>
      <c r="P17" s="41"/>
      <c r="Q17" s="41"/>
    </row>
    <row r="18" spans="2:17" ht="15" customHeight="1" x14ac:dyDescent="0.3">
      <c r="B18" s="67"/>
      <c r="E18" s="326" t="str">
        <f>INDEX($H18:$M18, MATCH($E$3, $H$3:$M$3, 0))</f>
        <v>-</v>
      </c>
      <c r="F18" s="41"/>
      <c r="G18" s="325"/>
      <c r="H18" s="327" t="s">
        <v>12</v>
      </c>
      <c r="I18" s="326" t="s">
        <v>12</v>
      </c>
      <c r="J18" s="326" t="s">
        <v>211</v>
      </c>
      <c r="K18" s="326" t="s">
        <v>12</v>
      </c>
      <c r="L18" s="326" t="s">
        <v>211</v>
      </c>
      <c r="M18" s="326" t="s">
        <v>12</v>
      </c>
      <c r="O18" s="303"/>
      <c r="P18" s="41"/>
      <c r="Q18" s="41"/>
    </row>
    <row r="19" spans="2:17" ht="15" customHeight="1" x14ac:dyDescent="0.3">
      <c r="B19" s="67"/>
      <c r="E19" s="326" t="str">
        <f>INDEX($H19:$M19, MATCH($E$3, $H$3:$M$3, 0))</f>
        <v>-</v>
      </c>
      <c r="F19" s="41"/>
      <c r="G19" s="325"/>
      <c r="H19" s="327" t="s">
        <v>12</v>
      </c>
      <c r="I19" s="326" t="s">
        <v>12</v>
      </c>
      <c r="J19" s="326" t="s">
        <v>212</v>
      </c>
      <c r="K19" s="326" t="s">
        <v>12</v>
      </c>
      <c r="L19" s="326" t="s">
        <v>212</v>
      </c>
      <c r="M19" s="326" t="s">
        <v>12</v>
      </c>
      <c r="O19" s="303"/>
      <c r="P19" s="41"/>
      <c r="Q19" s="41"/>
    </row>
    <row r="20" spans="2:17" ht="15" customHeight="1" x14ac:dyDescent="0.3">
      <c r="B20" s="67"/>
      <c r="E20" s="326" t="str">
        <f>INDEX($H20:$M20, MATCH($E$3, $H$3:$M$3, 0))</f>
        <v>-</v>
      </c>
      <c r="G20" s="325"/>
      <c r="H20" s="327" t="s">
        <v>12</v>
      </c>
      <c r="I20" s="326" t="s">
        <v>12</v>
      </c>
      <c r="J20" s="326" t="s">
        <v>2</v>
      </c>
      <c r="K20" s="326" t="s">
        <v>12</v>
      </c>
      <c r="L20" s="326" t="s">
        <v>2</v>
      </c>
      <c r="M20" s="326" t="s">
        <v>12</v>
      </c>
      <c r="O20" s="303"/>
      <c r="P20" s="41"/>
    </row>
    <row r="21" spans="2:17" ht="15" customHeight="1" thickBot="1" x14ac:dyDescent="0.35">
      <c r="B21" s="67"/>
      <c r="E21" s="326" t="str">
        <f>INDEX($H21:$M21, MATCH($E$3, $H$3:$M$3, 0))</f>
        <v>-</v>
      </c>
      <c r="G21" s="325"/>
      <c r="H21" s="327" t="s">
        <v>12</v>
      </c>
      <c r="I21" s="326" t="s">
        <v>12</v>
      </c>
      <c r="J21" s="326" t="s">
        <v>12</v>
      </c>
      <c r="K21" s="326" t="s">
        <v>12</v>
      </c>
      <c r="L21" s="326" t="s">
        <v>12</v>
      </c>
      <c r="M21" s="326" t="s">
        <v>12</v>
      </c>
      <c r="O21" s="304"/>
      <c r="P21" s="41"/>
    </row>
    <row r="22" spans="2:17" ht="15" customHeight="1" x14ac:dyDescent="0.3">
      <c r="E22" s="326" t="str">
        <f t="shared" ref="E22:E28" si="0">INDEX($H22:$M22, MATCH($E$3, $H$3:$M$3, 0))</f>
        <v>-</v>
      </c>
      <c r="G22" s="325"/>
      <c r="H22" s="327" t="s">
        <v>12</v>
      </c>
      <c r="I22" s="326" t="s">
        <v>12</v>
      </c>
      <c r="J22" s="326" t="s">
        <v>12</v>
      </c>
      <c r="K22" s="326" t="s">
        <v>12</v>
      </c>
      <c r="L22" s="326" t="s">
        <v>12</v>
      </c>
      <c r="M22" s="326" t="s">
        <v>12</v>
      </c>
      <c r="P22" s="41"/>
    </row>
    <row r="23" spans="2:17" ht="15" customHeight="1" x14ac:dyDescent="0.3">
      <c r="E23" s="326" t="str">
        <f t="shared" si="0"/>
        <v>-</v>
      </c>
      <c r="G23" s="325"/>
      <c r="H23" s="327" t="s">
        <v>12</v>
      </c>
      <c r="I23" s="326" t="s">
        <v>12</v>
      </c>
      <c r="J23" s="326" t="s">
        <v>12</v>
      </c>
      <c r="K23" s="326" t="s">
        <v>12</v>
      </c>
      <c r="L23" s="326" t="s">
        <v>12</v>
      </c>
      <c r="M23" s="326" t="s">
        <v>12</v>
      </c>
    </row>
    <row r="24" spans="2:17" ht="15" customHeight="1" x14ac:dyDescent="0.3">
      <c r="E24" s="326" t="str">
        <f t="shared" si="0"/>
        <v>-</v>
      </c>
      <c r="G24" s="325"/>
      <c r="H24" s="327" t="s">
        <v>12</v>
      </c>
      <c r="I24" s="326" t="s">
        <v>12</v>
      </c>
      <c r="J24" s="326" t="s">
        <v>12</v>
      </c>
      <c r="K24" s="326" t="s">
        <v>12</v>
      </c>
      <c r="L24" s="326" t="s">
        <v>12</v>
      </c>
      <c r="M24" s="326" t="s">
        <v>12</v>
      </c>
    </row>
    <row r="25" spans="2:17" ht="15" customHeight="1" x14ac:dyDescent="0.3">
      <c r="E25" s="326" t="str">
        <f t="shared" si="0"/>
        <v>-</v>
      </c>
      <c r="G25" s="325"/>
      <c r="H25" s="327" t="s">
        <v>12</v>
      </c>
      <c r="I25" s="326" t="s">
        <v>12</v>
      </c>
      <c r="J25" s="326" t="s">
        <v>12</v>
      </c>
      <c r="K25" s="326" t="s">
        <v>12</v>
      </c>
      <c r="L25" s="326" t="s">
        <v>12</v>
      </c>
      <c r="M25" s="326" t="s">
        <v>12</v>
      </c>
    </row>
    <row r="26" spans="2:17" ht="15" customHeight="1" x14ac:dyDescent="0.3">
      <c r="E26" s="326" t="str">
        <f t="shared" si="0"/>
        <v>-</v>
      </c>
      <c r="G26" s="325"/>
      <c r="H26" s="327" t="s">
        <v>12</v>
      </c>
      <c r="I26" s="326" t="s">
        <v>12</v>
      </c>
      <c r="J26" s="326" t="s">
        <v>12</v>
      </c>
      <c r="K26" s="326" t="s">
        <v>12</v>
      </c>
      <c r="L26" s="326" t="s">
        <v>12</v>
      </c>
      <c r="M26" s="326" t="s">
        <v>12</v>
      </c>
    </row>
    <row r="27" spans="2:17" ht="15" customHeight="1" x14ac:dyDescent="0.3">
      <c r="E27" s="326" t="str">
        <f t="shared" si="0"/>
        <v>-</v>
      </c>
      <c r="G27" s="325"/>
      <c r="H27" s="327" t="s">
        <v>12</v>
      </c>
      <c r="I27" s="326" t="s">
        <v>12</v>
      </c>
      <c r="J27" s="326" t="s">
        <v>12</v>
      </c>
      <c r="K27" s="326" t="s">
        <v>12</v>
      </c>
      <c r="L27" s="326" t="s">
        <v>12</v>
      </c>
      <c r="M27" s="326" t="s">
        <v>12</v>
      </c>
    </row>
    <row r="28" spans="2:17" ht="15" customHeight="1" x14ac:dyDescent="0.3">
      <c r="E28" s="326" t="str">
        <f t="shared" si="0"/>
        <v>-</v>
      </c>
      <c r="G28" s="325"/>
      <c r="H28" s="327" t="s">
        <v>12</v>
      </c>
      <c r="I28" s="326" t="s">
        <v>12</v>
      </c>
      <c r="J28" s="326" t="s">
        <v>12</v>
      </c>
      <c r="K28" s="326" t="s">
        <v>12</v>
      </c>
      <c r="L28" s="326" t="s">
        <v>12</v>
      </c>
      <c r="M28" s="326" t="s">
        <v>12</v>
      </c>
    </row>
    <row r="37" spans="2:17" ht="26.4" customHeight="1" x14ac:dyDescent="0.3">
      <c r="B37" s="301" t="s">
        <v>8</v>
      </c>
      <c r="C37" s="301"/>
      <c r="Q37" s="44"/>
    </row>
    <row r="38" spans="2:17" ht="26.4" customHeight="1" outlineLevel="1" x14ac:dyDescent="0.3">
      <c r="B38" s="64" t="s">
        <v>213</v>
      </c>
      <c r="C38" s="65">
        <v>0.05</v>
      </c>
      <c r="D38" s="40"/>
      <c r="F38" s="44"/>
      <c r="P38" s="44"/>
      <c r="Q38" s="44"/>
    </row>
    <row r="39" spans="2:17" ht="26.4" customHeight="1" outlineLevel="1" x14ac:dyDescent="0.3">
      <c r="B39" s="64" t="s">
        <v>214</v>
      </c>
      <c r="C39" s="65">
        <f>+C38/3</f>
        <v>1.6666666666666666E-2</v>
      </c>
      <c r="D39" s="40"/>
      <c r="F39" s="44"/>
      <c r="P39" s="44"/>
      <c r="Q39" s="44"/>
    </row>
    <row r="40" spans="2:17" ht="26.4" customHeight="1" outlineLevel="1" x14ac:dyDescent="0.3">
      <c r="B40" s="64" t="s">
        <v>9</v>
      </c>
      <c r="C40" s="65">
        <v>4.4999999999999998E-2</v>
      </c>
      <c r="D40" s="40"/>
      <c r="F40" s="44"/>
      <c r="P40" s="44"/>
      <c r="Q40" s="44"/>
    </row>
    <row r="41" spans="2:17" ht="26.4" customHeight="1" outlineLevel="1" x14ac:dyDescent="0.3">
      <c r="B41" s="64" t="s">
        <v>215</v>
      </c>
      <c r="C41" s="65">
        <v>5.0000000000000001E-3</v>
      </c>
      <c r="D41" s="40"/>
      <c r="F41" s="44"/>
      <c r="P41" s="44"/>
    </row>
    <row r="42" spans="2:17" ht="26.4" customHeight="1" outlineLevel="1" x14ac:dyDescent="0.3">
      <c r="B42" s="64" t="s">
        <v>216</v>
      </c>
      <c r="C42" s="65">
        <v>0.02</v>
      </c>
      <c r="D42" s="40"/>
      <c r="F42" s="44"/>
      <c r="P42" s="44"/>
    </row>
    <row r="43" spans="2:17" ht="26.4" customHeight="1" outlineLevel="1" x14ac:dyDescent="0.3">
      <c r="B43" s="64" t="s">
        <v>17</v>
      </c>
      <c r="C43" s="65">
        <v>0.04</v>
      </c>
      <c r="D43" s="40"/>
      <c r="F43" s="44"/>
      <c r="P43" s="44"/>
    </row>
    <row r="44" spans="2:17" ht="26.4" customHeight="1" outlineLevel="1" x14ac:dyDescent="0.3">
      <c r="B44" s="64" t="s">
        <v>16</v>
      </c>
      <c r="C44" s="65">
        <v>3.3E-3</v>
      </c>
      <c r="D44" s="40"/>
      <c r="F44" s="44"/>
    </row>
    <row r="45" spans="2:17" ht="30.75" customHeight="1" outlineLevel="1" x14ac:dyDescent="0.3">
      <c r="B45" s="64" t="s">
        <v>22</v>
      </c>
      <c r="C45" s="65">
        <v>0.05</v>
      </c>
      <c r="D45" s="40"/>
      <c r="F45" s="44"/>
    </row>
    <row r="46" spans="2:17" ht="33" customHeight="1" x14ac:dyDescent="0.3">
      <c r="B46" s="202" t="s">
        <v>1</v>
      </c>
      <c r="C46" s="66">
        <f>SUM(C38:C45)</f>
        <v>0.22996666666666665</v>
      </c>
    </row>
    <row r="48" spans="2:17" ht="15" customHeight="1" x14ac:dyDescent="0.3">
      <c r="P48" s="56"/>
    </row>
    <row r="49" spans="16:16" ht="15" customHeight="1" x14ac:dyDescent="0.3">
      <c r="P49" s="72"/>
    </row>
    <row r="50" spans="16:16" ht="15" customHeight="1" x14ac:dyDescent="0.3">
      <c r="P50" s="72"/>
    </row>
    <row r="51" spans="16:16" ht="15" customHeight="1" x14ac:dyDescent="0.3">
      <c r="P51" s="56"/>
    </row>
    <row r="81" ht="27" customHeight="1" x14ac:dyDescent="0.3"/>
  </sheetData>
  <mergeCells count="5">
    <mergeCell ref="B1:C1"/>
    <mergeCell ref="B37:C37"/>
    <mergeCell ref="O3:O21"/>
    <mergeCell ref="B3:C3"/>
    <mergeCell ref="G3:G28"/>
  </mergeCells>
  <conditionalFormatting sqref="C38:C45">
    <cfRule type="containsText" dxfId="58" priority="1" operator="containsText" text="MAL">
      <formula>NOT(ISERROR(SEARCH("MAL",C38)))</formula>
    </cfRule>
    <cfRule type="containsText" dxfId="57" priority="2" operator="containsText" text="OK">
      <formula>NOT(ISERROR(SEARCH("OK",C38)))</formula>
    </cfRule>
  </conditionalFormatting>
  <dataValidations count="1">
    <dataValidation type="list" allowBlank="1" showInputMessage="1" showErrorMessage="1" sqref="D15 C16 E3" xr:uid="{F061478E-E3AF-4953-81BC-70EF634D53EB}">
      <formula1>$H$3:$M$3</formula1>
    </dataValidation>
  </dataValidations>
  <pageMargins left="0.7" right="0.7" top="0.75" bottom="0.75" header="0.3" footer="0.3"/>
  <pageSetup paperSize="9" scale="34"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41F70-FF2D-42C5-91FD-80D47AA83D54}">
  <sheetPr>
    <tabColor rgb="FF92D050"/>
  </sheetPr>
  <dimension ref="B1:L15"/>
  <sheetViews>
    <sheetView showGridLines="0" zoomScale="70" zoomScaleNormal="70" zoomScaleSheetLayoutView="70" workbookViewId="0">
      <selection activeCell="C13" sqref="C13"/>
    </sheetView>
  </sheetViews>
  <sheetFormatPr baseColWidth="10" defaultColWidth="11.5546875" defaultRowHeight="15.6" x14ac:dyDescent="0.3"/>
  <cols>
    <col min="1" max="1" width="5.5546875" style="224" customWidth="1"/>
    <col min="2" max="2" width="30.88671875" style="224" customWidth="1"/>
    <col min="3" max="3" width="127.5546875" style="224" customWidth="1"/>
    <col min="4" max="4" width="91.44140625" style="224" customWidth="1"/>
    <col min="5" max="16384" width="11.5546875" style="224"/>
  </cols>
  <sheetData>
    <row r="1" spans="2:12" s="207" customFormat="1" ht="15" x14ac:dyDescent="0.3">
      <c r="B1" s="208"/>
    </row>
    <row r="2" spans="2:12" s="209" customFormat="1" ht="15" x14ac:dyDescent="0.3">
      <c r="B2" s="307" t="s">
        <v>217</v>
      </c>
      <c r="C2" s="307"/>
    </row>
    <row r="3" spans="2:12" s="209" customFormat="1" ht="30" customHeight="1" x14ac:dyDescent="0.3">
      <c r="B3" s="211" t="s">
        <v>218</v>
      </c>
      <c r="C3" s="212" t="s">
        <v>219</v>
      </c>
    </row>
    <row r="4" spans="2:12" s="209" customFormat="1" ht="30" customHeight="1" x14ac:dyDescent="0.3">
      <c r="B4" s="213" t="s">
        <v>220</v>
      </c>
      <c r="C4" s="212" t="s">
        <v>221</v>
      </c>
    </row>
    <row r="5" spans="2:12" s="209" customFormat="1" ht="30" customHeight="1" x14ac:dyDescent="0.3">
      <c r="B5" s="214" t="s">
        <v>222</v>
      </c>
      <c r="C5" s="212" t="s">
        <v>223</v>
      </c>
    </row>
    <row r="6" spans="2:12" s="209" customFormat="1" ht="30" customHeight="1" x14ac:dyDescent="0.3">
      <c r="B6" s="215" t="s">
        <v>224</v>
      </c>
      <c r="C6" s="212" t="s">
        <v>225</v>
      </c>
    </row>
    <row r="7" spans="2:12" s="209" customFormat="1" ht="30" customHeight="1" x14ac:dyDescent="0.3">
      <c r="B7" s="216" t="s">
        <v>226</v>
      </c>
      <c r="C7" s="212" t="s">
        <v>12</v>
      </c>
    </row>
    <row r="8" spans="2:12" s="209" customFormat="1" ht="15" x14ac:dyDescent="0.3">
      <c r="C8" s="210"/>
    </row>
    <row r="9" spans="2:12" s="209" customFormat="1" ht="15" x14ac:dyDescent="0.3">
      <c r="B9" s="308" t="s">
        <v>227</v>
      </c>
      <c r="C9" s="309"/>
    </row>
    <row r="10" spans="2:12" s="209" customFormat="1" ht="61.5" customHeight="1" x14ac:dyDescent="0.3">
      <c r="B10" s="217" t="s">
        <v>228</v>
      </c>
      <c r="C10" s="225" t="s">
        <v>229</v>
      </c>
    </row>
    <row r="11" spans="2:12" s="209" customFormat="1" ht="45" customHeight="1" x14ac:dyDescent="0.3">
      <c r="B11" s="218" t="s">
        <v>230</v>
      </c>
      <c r="C11" s="212" t="s">
        <v>231</v>
      </c>
      <c r="G11" s="219"/>
    </row>
    <row r="12" spans="2:12" s="209" customFormat="1" ht="42" customHeight="1" x14ac:dyDescent="0.3">
      <c r="B12" s="220" t="s">
        <v>232</v>
      </c>
      <c r="C12" s="212" t="s">
        <v>233</v>
      </c>
      <c r="L12" s="221"/>
    </row>
    <row r="13" spans="2:12" s="209" customFormat="1" ht="42.75" customHeight="1" x14ac:dyDescent="0.3">
      <c r="B13" s="222" t="s">
        <v>234</v>
      </c>
      <c r="C13" s="212" t="s">
        <v>235</v>
      </c>
      <c r="L13" s="221"/>
    </row>
    <row r="14" spans="2:12" s="209" customFormat="1" ht="45" customHeight="1" x14ac:dyDescent="0.3">
      <c r="B14" s="223" t="s">
        <v>12</v>
      </c>
      <c r="C14" s="212" t="s">
        <v>12</v>
      </c>
      <c r="K14" s="221"/>
      <c r="L14" s="221"/>
    </row>
    <row r="15" spans="2:12" s="209" customFormat="1" ht="15" x14ac:dyDescent="0.3">
      <c r="C15" s="210"/>
      <c r="K15" s="221"/>
      <c r="L15" s="221"/>
    </row>
  </sheetData>
  <mergeCells count="2">
    <mergeCell ref="B2:C2"/>
    <mergeCell ref="B9:C9"/>
  </mergeCells>
  <printOptions horizontalCentered="1"/>
  <pageMargins left="0.19685039370078741" right="0.19685039370078741" top="0.98425196850393704" bottom="0.19685039370078741" header="0.19685039370078741" footer="0.19685039370078741"/>
  <pageSetup paperSize="9" scale="50" fitToHeight="0" orientation="landscape" r:id="rId1"/>
  <headerFooter>
    <oddHeader>&amp;L&amp;"Century Gothic,Negrita"&amp;36&amp;G &amp;A&amp;R&amp;G</oddHeader>
    <oddFooter>&amp;C&amp;"Century Gothic,Normal"&amp;9&amp;F&amp;R&amp;"Century Gothic,Normal"&amp;9Page &amp;P of &amp;N</oddFoot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92D050"/>
    <outlinePr summaryBelow="0" summaryRight="0"/>
  </sheetPr>
  <dimension ref="A2:W1142"/>
  <sheetViews>
    <sheetView showGridLines="0" tabSelected="1" zoomScale="70" zoomScaleNormal="70" zoomScaleSheetLayoutView="55" zoomScalePageLayoutView="70" workbookViewId="0">
      <pane xSplit="7" ySplit="10" topLeftCell="H219" activePane="bottomRight" state="frozen"/>
      <selection activeCell="C13" sqref="C13"/>
      <selection pane="topRight" activeCell="C13" sqref="C13"/>
      <selection pane="bottomLeft" activeCell="C13" sqref="C13"/>
      <selection pane="bottomRight" activeCell="O231" sqref="O231"/>
    </sheetView>
  </sheetViews>
  <sheetFormatPr baseColWidth="10" defaultColWidth="11.44140625" defaultRowHeight="14.4" outlineLevelRow="3" outlineLevelCol="1" x14ac:dyDescent="0.3"/>
  <cols>
    <col min="1" max="1" width="5.88671875" style="1" customWidth="1"/>
    <col min="2" max="2" width="8.5546875" style="1" customWidth="1" collapsed="1"/>
    <col min="3" max="3" width="13.88671875" style="1" hidden="1" customWidth="1" outlineLevel="1"/>
    <col min="4" max="4" width="44.88671875" style="15" hidden="1" customWidth="1" outlineLevel="1"/>
    <col min="5" max="5" width="20.109375" style="1" customWidth="1"/>
    <col min="6" max="6" width="14.88671875" style="1" customWidth="1"/>
    <col min="7" max="7" width="40.88671875" style="3" customWidth="1"/>
    <col min="8" max="8" width="18.44140625" style="24" customWidth="1"/>
    <col min="9" max="9" width="39.88671875" style="3" customWidth="1"/>
    <col min="10" max="13" width="15.88671875" style="6" customWidth="1"/>
    <col min="14" max="14" width="15.88671875" style="6" customWidth="1" outlineLevel="1"/>
    <col min="15" max="15" width="15.88671875" style="7" customWidth="1" outlineLevel="1"/>
    <col min="16" max="16" width="23.88671875" style="7" customWidth="1"/>
    <col min="17" max="17" width="15.109375" style="3" customWidth="1" outlineLevel="1"/>
    <col min="18" max="18" width="7.109375" style="4" customWidth="1"/>
    <col min="19" max="19" width="35.109375" style="24" customWidth="1" outlineLevel="1"/>
    <col min="20" max="20" width="11.44140625" style="3" customWidth="1" outlineLevel="1"/>
    <col min="21" max="21" width="13.44140625" style="3" customWidth="1" outlineLevel="1"/>
    <col min="22" max="22" width="17.88671875" style="23" customWidth="1" outlineLevel="1"/>
    <col min="24" max="24" width="50.109375" style="3" customWidth="1"/>
    <col min="25" max="16384" width="11.44140625" style="3"/>
  </cols>
  <sheetData>
    <row r="2" spans="1:23" ht="15" customHeight="1" x14ac:dyDescent="0.3">
      <c r="A2" s="79"/>
      <c r="B2" s="79"/>
      <c r="C2" s="80"/>
      <c r="D2" s="80"/>
      <c r="E2" s="80"/>
      <c r="F2" s="82"/>
      <c r="G2" s="82"/>
      <c r="H2" s="240" t="s">
        <v>236</v>
      </c>
      <c r="I2" s="226" t="s">
        <v>176</v>
      </c>
      <c r="J2" s="229"/>
      <c r="K2" s="230" t="s">
        <v>189</v>
      </c>
      <c r="L2" s="234" t="s">
        <v>176</v>
      </c>
      <c r="M2" s="81"/>
      <c r="N2" s="81"/>
      <c r="O2" s="242"/>
      <c r="P2" s="81"/>
      <c r="Q2" s="81"/>
      <c r="S2" s="227"/>
      <c r="T2" s="228"/>
      <c r="U2" s="228"/>
      <c r="V2" s="227"/>
    </row>
    <row r="3" spans="1:23" ht="15" customHeight="1" x14ac:dyDescent="0.45">
      <c r="A3" s="83"/>
      <c r="B3" s="83"/>
      <c r="C3" s="80"/>
      <c r="D3" s="206"/>
      <c r="E3" s="296"/>
      <c r="F3" s="296"/>
      <c r="G3" s="296"/>
      <c r="H3" s="240" t="s">
        <v>237</v>
      </c>
      <c r="I3" s="226" t="s">
        <v>176</v>
      </c>
      <c r="J3" s="229"/>
      <c r="K3" s="230" t="s">
        <v>192</v>
      </c>
      <c r="L3" s="234" t="s">
        <v>176</v>
      </c>
      <c r="M3" s="84"/>
      <c r="N3" s="84"/>
      <c r="O3" s="243"/>
      <c r="P3" s="84"/>
      <c r="Q3" s="84"/>
      <c r="S3" s="228"/>
      <c r="T3" s="228"/>
      <c r="U3" s="228"/>
      <c r="V3" s="227"/>
    </row>
    <row r="4" spans="1:23" ht="15" customHeight="1" x14ac:dyDescent="0.45">
      <c r="A4" s="79"/>
      <c r="B4" s="79"/>
      <c r="C4" s="206"/>
      <c r="D4" s="206"/>
      <c r="E4" s="296"/>
      <c r="F4" s="296"/>
      <c r="G4" s="296"/>
      <c r="H4" s="240"/>
      <c r="I4" s="231"/>
      <c r="J4" s="229"/>
      <c r="K4" s="230" t="s">
        <v>194</v>
      </c>
      <c r="L4" s="234" t="s">
        <v>176</v>
      </c>
      <c r="M4" s="84"/>
      <c r="N4" s="84"/>
      <c r="O4" s="243"/>
      <c r="P4" s="84"/>
      <c r="Q4" s="84"/>
      <c r="S4" s="227"/>
      <c r="T4" s="228"/>
      <c r="U4" s="228"/>
      <c r="V4" s="227"/>
    </row>
    <row r="5" spans="1:23" ht="15" customHeight="1" x14ac:dyDescent="0.45">
      <c r="A5" s="79"/>
      <c r="B5" s="79"/>
      <c r="C5" s="206"/>
      <c r="D5" s="206"/>
      <c r="E5" s="296"/>
      <c r="F5" s="296"/>
      <c r="G5" s="296"/>
      <c r="H5" s="240" t="s">
        <v>238</v>
      </c>
      <c r="I5" s="232" t="s">
        <v>176</v>
      </c>
      <c r="J5" s="229"/>
      <c r="K5" s="230" t="s">
        <v>197</v>
      </c>
      <c r="L5" s="234" t="s">
        <v>176</v>
      </c>
      <c r="M5" s="84"/>
      <c r="N5" s="84"/>
      <c r="O5" s="243"/>
      <c r="P5" s="84"/>
      <c r="Q5" s="84"/>
      <c r="S5" s="227"/>
      <c r="T5" s="228"/>
      <c r="U5" s="228"/>
      <c r="V5" s="227"/>
    </row>
    <row r="6" spans="1:23" ht="15" customHeight="1" x14ac:dyDescent="0.45">
      <c r="A6" s="79"/>
      <c r="B6" s="79"/>
      <c r="C6" s="80"/>
      <c r="D6" s="206"/>
      <c r="E6" s="296"/>
      <c r="F6" s="296"/>
      <c r="G6" s="296"/>
      <c r="H6" s="240" t="s">
        <v>239</v>
      </c>
      <c r="I6" s="233" t="s">
        <v>176</v>
      </c>
      <c r="J6" s="229"/>
      <c r="K6" s="230" t="s">
        <v>200</v>
      </c>
      <c r="L6" s="235" t="s">
        <v>176</v>
      </c>
      <c r="M6" s="84"/>
      <c r="N6" s="84"/>
      <c r="O6" s="243"/>
      <c r="P6" s="84"/>
      <c r="Q6" s="84"/>
      <c r="S6" s="227"/>
      <c r="T6" s="228"/>
      <c r="U6" s="228"/>
      <c r="V6" s="227"/>
    </row>
    <row r="7" spans="1:23" s="4" customFormat="1" ht="13.2" x14ac:dyDescent="0.3">
      <c r="E7" s="4" t="s">
        <v>240</v>
      </c>
      <c r="H7" s="24"/>
      <c r="J7" s="85"/>
      <c r="K7" s="85"/>
      <c r="L7" s="85"/>
      <c r="M7" s="85"/>
      <c r="N7" s="85"/>
      <c r="O7" s="86"/>
      <c r="P7" s="86"/>
      <c r="S7" s="5"/>
      <c r="V7" s="5"/>
    </row>
    <row r="8" spans="1:23" s="4" customFormat="1" ht="13.8" thickBot="1" x14ac:dyDescent="0.35">
      <c r="E8" s="4" t="s">
        <v>241</v>
      </c>
      <c r="H8" s="24"/>
      <c r="J8" s="85"/>
      <c r="K8" s="85"/>
      <c r="L8" s="85"/>
      <c r="M8" s="85"/>
      <c r="N8" s="86"/>
      <c r="O8" s="86"/>
      <c r="S8" s="5"/>
      <c r="V8" s="5"/>
    </row>
    <row r="9" spans="1:23" s="2" customFormat="1" ht="22.65" customHeight="1" thickBot="1" x14ac:dyDescent="0.35">
      <c r="D9" s="126"/>
      <c r="H9" s="179"/>
      <c r="J9" s="297" t="s">
        <v>242</v>
      </c>
      <c r="K9" s="298"/>
      <c r="L9" s="298"/>
      <c r="M9" s="298"/>
      <c r="N9" s="298"/>
      <c r="O9" s="299"/>
      <c r="P9" s="7"/>
      <c r="Q9" s="7"/>
      <c r="R9" s="5"/>
      <c r="V9" s="8"/>
    </row>
    <row r="10" spans="1:23" s="2" customFormat="1" ht="37.65" customHeight="1" thickBot="1" x14ac:dyDescent="0.35">
      <c r="A10" s="89" t="s">
        <v>3</v>
      </c>
      <c r="B10" s="89"/>
      <c r="C10" s="98" t="s">
        <v>32</v>
      </c>
      <c r="D10" s="98" t="s">
        <v>243</v>
      </c>
      <c r="E10" s="90" t="s">
        <v>3</v>
      </c>
      <c r="F10" s="90" t="s">
        <v>172</v>
      </c>
      <c r="G10" s="90" t="s">
        <v>4</v>
      </c>
      <c r="H10" s="91" t="s">
        <v>244</v>
      </c>
      <c r="I10" s="92" t="s">
        <v>245</v>
      </c>
      <c r="J10" s="169" t="s">
        <v>218</v>
      </c>
      <c r="K10" s="193" t="s">
        <v>220</v>
      </c>
      <c r="L10" s="185" t="s">
        <v>222</v>
      </c>
      <c r="M10" s="201" t="s">
        <v>224</v>
      </c>
      <c r="N10" s="192" t="s">
        <v>226</v>
      </c>
      <c r="O10" s="241" t="s">
        <v>1</v>
      </c>
      <c r="P10" s="148" t="s">
        <v>170</v>
      </c>
      <c r="Q10" s="137" t="s">
        <v>249</v>
      </c>
      <c r="R10" s="5"/>
      <c r="S10" s="98" t="s">
        <v>4</v>
      </c>
      <c r="T10" s="98" t="s">
        <v>246</v>
      </c>
      <c r="U10" s="98" t="s">
        <v>247</v>
      </c>
      <c r="V10" s="97" t="s">
        <v>248</v>
      </c>
    </row>
    <row r="11" spans="1:23" s="78" customFormat="1" collapsed="1" thickBot="1" x14ac:dyDescent="0.3">
      <c r="A11" s="186" t="s">
        <v>1</v>
      </c>
      <c r="B11" s="187"/>
      <c r="C11" s="188"/>
      <c r="D11" s="188"/>
      <c r="E11" s="187"/>
      <c r="F11" s="187"/>
      <c r="G11" s="187"/>
      <c r="H11" s="189"/>
      <c r="I11" s="187"/>
      <c r="J11" s="190">
        <f t="shared" ref="J11:O11" si="0">+J12+J219+J193+J206</f>
        <v>0</v>
      </c>
      <c r="K11" s="190">
        <f t="shared" si="0"/>
        <v>0</v>
      </c>
      <c r="L11" s="190">
        <f t="shared" si="0"/>
        <v>0</v>
      </c>
      <c r="M11" s="190">
        <f t="shared" si="0"/>
        <v>0</v>
      </c>
      <c r="N11" s="190">
        <f t="shared" si="0"/>
        <v>0</v>
      </c>
      <c r="O11" s="190">
        <f t="shared" si="0"/>
        <v>0</v>
      </c>
      <c r="P11" s="187"/>
      <c r="Q11" s="191"/>
      <c r="R11" s="204"/>
      <c r="S11" s="252"/>
      <c r="T11" s="188"/>
      <c r="U11" s="188"/>
      <c r="V11" s="253"/>
    </row>
    <row r="12" spans="1:23" s="78" customFormat="1" ht="13.8" collapsed="1" thickBot="1" x14ac:dyDescent="0.3">
      <c r="A12" s="75" t="s">
        <v>7</v>
      </c>
      <c r="B12" s="76"/>
      <c r="C12" s="76"/>
      <c r="D12" s="127"/>
      <c r="E12" s="76"/>
      <c r="F12" s="76"/>
      <c r="G12" s="76"/>
      <c r="H12" s="76"/>
      <c r="I12" s="76"/>
      <c r="J12" s="149">
        <f t="shared" ref="J12:O12" si="1">+J13+J25+J37+J49+J61+J73+J85+J97+J109+J121+J133+J145+J169+J157+J181</f>
        <v>0</v>
      </c>
      <c r="K12" s="149">
        <f t="shared" si="1"/>
        <v>0</v>
      </c>
      <c r="L12" s="149">
        <f t="shared" si="1"/>
        <v>0</v>
      </c>
      <c r="M12" s="149">
        <f t="shared" si="1"/>
        <v>0</v>
      </c>
      <c r="N12" s="149">
        <f t="shared" si="1"/>
        <v>0</v>
      </c>
      <c r="O12" s="149">
        <f t="shared" si="1"/>
        <v>0</v>
      </c>
      <c r="P12" s="76"/>
      <c r="Q12" s="77"/>
      <c r="R12" s="204"/>
      <c r="S12" s="75"/>
      <c r="T12" s="76"/>
      <c r="U12" s="76"/>
      <c r="V12" s="77"/>
    </row>
    <row r="13" spans="1:23" ht="13.8" hidden="1" outlineLevel="1" thickBot="1" x14ac:dyDescent="0.35">
      <c r="A13" s="122" t="s">
        <v>37</v>
      </c>
      <c r="B13" s="123"/>
      <c r="C13" s="123"/>
      <c r="D13" s="128"/>
      <c r="E13" s="124"/>
      <c r="F13" s="124"/>
      <c r="G13" s="125"/>
      <c r="H13" s="177"/>
      <c r="I13" s="63"/>
      <c r="J13" s="11">
        <f t="shared" ref="J13:O13" si="2">SUM(J14:J23)</f>
        <v>0</v>
      </c>
      <c r="K13" s="10">
        <f t="shared" si="2"/>
        <v>0</v>
      </c>
      <c r="L13" s="10">
        <f t="shared" si="2"/>
        <v>0</v>
      </c>
      <c r="M13" s="10">
        <f t="shared" si="2"/>
        <v>0</v>
      </c>
      <c r="N13" s="10">
        <f t="shared" si="2"/>
        <v>0</v>
      </c>
      <c r="O13" s="10">
        <f t="shared" si="2"/>
        <v>0</v>
      </c>
      <c r="P13" s="28"/>
      <c r="Q13" s="141"/>
      <c r="S13" s="249"/>
      <c r="T13" s="63"/>
      <c r="U13" s="63"/>
      <c r="V13" s="63"/>
      <c r="W13" s="3"/>
    </row>
    <row r="14" spans="1:23" s="16" customFormat="1" ht="13.2" hidden="1" outlineLevel="3" x14ac:dyDescent="0.3">
      <c r="A14" s="62" t="s">
        <v>18</v>
      </c>
      <c r="B14" s="96" t="str">
        <f>CONCATENATE(MID(A13,2,3),"01")</f>
        <v>01.01</v>
      </c>
      <c r="C14" s="194" t="s">
        <v>20</v>
      </c>
      <c r="D14" s="238" t="s">
        <v>37</v>
      </c>
      <c r="E14" s="31"/>
      <c r="F14" s="31"/>
      <c r="G14" s="30"/>
      <c r="H14" s="180"/>
      <c r="I14" s="59"/>
      <c r="J14" s="173"/>
      <c r="K14" s="170"/>
      <c r="L14" s="166"/>
      <c r="M14" s="197"/>
      <c r="N14" s="163"/>
      <c r="O14" s="246">
        <f>+SUM(J14:N14)</f>
        <v>0</v>
      </c>
      <c r="P14" s="138"/>
      <c r="Q14" s="142"/>
      <c r="R14" s="205" t="str">
        <f>+IF(O14=V14,"OK","MAL")</f>
        <v>OK</v>
      </c>
      <c r="S14" s="250"/>
      <c r="T14" s="130"/>
      <c r="U14" s="131"/>
      <c r="V14" s="132">
        <f t="shared" ref="V14:V23" si="3">+T14*U14</f>
        <v>0</v>
      </c>
    </row>
    <row r="15" spans="1:23" s="16" customFormat="1" ht="13.2" hidden="1" outlineLevel="3" x14ac:dyDescent="0.3">
      <c r="A15" s="20" t="s">
        <v>18</v>
      </c>
      <c r="B15" s="87" t="str">
        <f>LEFT(B14,4)&amp;TEXT(RIGHT(B14,2)+1,"0")</f>
        <v>01.02</v>
      </c>
      <c r="C15" s="195" t="s">
        <v>20</v>
      </c>
      <c r="D15" s="239" t="s">
        <v>37</v>
      </c>
      <c r="E15" s="33"/>
      <c r="F15" s="33"/>
      <c r="G15" s="34"/>
      <c r="H15" s="180"/>
      <c r="I15" s="60"/>
      <c r="J15" s="174"/>
      <c r="K15" s="171"/>
      <c r="L15" s="167"/>
      <c r="M15" s="198"/>
      <c r="N15" s="164"/>
      <c r="O15" s="247">
        <f t="shared" ref="O15:O23" si="4">+SUM(J15:N15)</f>
        <v>0</v>
      </c>
      <c r="P15" s="139"/>
      <c r="Q15" s="143"/>
      <c r="R15" s="205" t="str">
        <f t="shared" ref="R15:R23" si="5">+IF(O15=V15,"OK","MAL")</f>
        <v>OK</v>
      </c>
      <c r="S15" s="250"/>
      <c r="T15" s="130"/>
      <c r="U15" s="131"/>
      <c r="V15" s="133">
        <f t="shared" si="3"/>
        <v>0</v>
      </c>
    </row>
    <row r="16" spans="1:23" s="16" customFormat="1" ht="13.2" hidden="1" outlineLevel="3" x14ac:dyDescent="0.3">
      <c r="A16" s="20" t="s">
        <v>18</v>
      </c>
      <c r="B16" s="87" t="str">
        <f t="shared" ref="B16:B23" si="6">LEFT(B15,4)&amp;TEXT(RIGHT(B15,2)+1,"0")</f>
        <v>01.03</v>
      </c>
      <c r="C16" s="195" t="s">
        <v>20</v>
      </c>
      <c r="D16" s="239" t="s">
        <v>37</v>
      </c>
      <c r="E16" s="33"/>
      <c r="F16" s="33"/>
      <c r="G16" s="34"/>
      <c r="H16" s="180"/>
      <c r="I16" s="60"/>
      <c r="J16" s="174"/>
      <c r="K16" s="171"/>
      <c r="L16" s="167"/>
      <c r="M16" s="198"/>
      <c r="N16" s="164"/>
      <c r="O16" s="247">
        <f t="shared" si="4"/>
        <v>0</v>
      </c>
      <c r="P16" s="139"/>
      <c r="Q16" s="143"/>
      <c r="R16" s="205" t="str">
        <f t="shared" si="5"/>
        <v>OK</v>
      </c>
      <c r="S16" s="250"/>
      <c r="T16" s="130"/>
      <c r="U16" s="131"/>
      <c r="V16" s="133">
        <f t="shared" si="3"/>
        <v>0</v>
      </c>
    </row>
    <row r="17" spans="1:23" s="16" customFormat="1" ht="13.2" hidden="1" outlineLevel="3" x14ac:dyDescent="0.3">
      <c r="A17" s="20" t="s">
        <v>18</v>
      </c>
      <c r="B17" s="87" t="str">
        <f t="shared" si="6"/>
        <v>01.04</v>
      </c>
      <c r="C17" s="195" t="s">
        <v>20</v>
      </c>
      <c r="D17" s="239" t="s">
        <v>37</v>
      </c>
      <c r="E17" s="33"/>
      <c r="F17" s="33"/>
      <c r="G17" s="34"/>
      <c r="H17" s="180"/>
      <c r="I17" s="60"/>
      <c r="J17" s="174"/>
      <c r="K17" s="171"/>
      <c r="L17" s="167"/>
      <c r="M17" s="199"/>
      <c r="N17" s="164"/>
      <c r="O17" s="247">
        <f t="shared" si="4"/>
        <v>0</v>
      </c>
      <c r="P17" s="139"/>
      <c r="Q17" s="143"/>
      <c r="R17" s="205" t="str">
        <f t="shared" si="5"/>
        <v>OK</v>
      </c>
      <c r="S17" s="250"/>
      <c r="T17" s="130"/>
      <c r="U17" s="131"/>
      <c r="V17" s="133">
        <f t="shared" si="3"/>
        <v>0</v>
      </c>
    </row>
    <row r="18" spans="1:23" s="16" customFormat="1" ht="13.2" hidden="1" outlineLevel="3" x14ac:dyDescent="0.3">
      <c r="A18" s="20" t="s">
        <v>18</v>
      </c>
      <c r="B18" s="87" t="str">
        <f t="shared" si="6"/>
        <v>01.05</v>
      </c>
      <c r="C18" s="195" t="s">
        <v>20</v>
      </c>
      <c r="D18" s="239" t="s">
        <v>37</v>
      </c>
      <c r="E18" s="33"/>
      <c r="F18" s="33"/>
      <c r="G18" s="34"/>
      <c r="H18" s="180"/>
      <c r="I18" s="60"/>
      <c r="J18" s="174"/>
      <c r="K18" s="171"/>
      <c r="L18" s="167"/>
      <c r="M18" s="198"/>
      <c r="N18" s="164"/>
      <c r="O18" s="247">
        <f t="shared" si="4"/>
        <v>0</v>
      </c>
      <c r="P18" s="139"/>
      <c r="Q18" s="143"/>
      <c r="R18" s="205" t="str">
        <f t="shared" si="5"/>
        <v>OK</v>
      </c>
      <c r="S18" s="250"/>
      <c r="T18" s="130"/>
      <c r="U18" s="131"/>
      <c r="V18" s="133">
        <f t="shared" si="3"/>
        <v>0</v>
      </c>
    </row>
    <row r="19" spans="1:23" s="16" customFormat="1" ht="13.2" hidden="1" outlineLevel="3" x14ac:dyDescent="0.3">
      <c r="A19" s="20" t="s">
        <v>18</v>
      </c>
      <c r="B19" s="87" t="str">
        <f t="shared" si="6"/>
        <v>01.06</v>
      </c>
      <c r="C19" s="195" t="s">
        <v>20</v>
      </c>
      <c r="D19" s="239" t="s">
        <v>37</v>
      </c>
      <c r="E19" s="33"/>
      <c r="F19" s="33"/>
      <c r="G19" s="34"/>
      <c r="H19" s="180"/>
      <c r="I19" s="60"/>
      <c r="J19" s="174"/>
      <c r="K19" s="171"/>
      <c r="L19" s="167"/>
      <c r="M19" s="198"/>
      <c r="N19" s="164"/>
      <c r="O19" s="247">
        <f t="shared" si="4"/>
        <v>0</v>
      </c>
      <c r="P19" s="139"/>
      <c r="Q19" s="143"/>
      <c r="R19" s="205" t="str">
        <f t="shared" si="5"/>
        <v>OK</v>
      </c>
      <c r="S19" s="250"/>
      <c r="T19" s="130"/>
      <c r="U19" s="131"/>
      <c r="V19" s="133">
        <f t="shared" si="3"/>
        <v>0</v>
      </c>
    </row>
    <row r="20" spans="1:23" s="16" customFormat="1" ht="13.2" hidden="1" outlineLevel="3" x14ac:dyDescent="0.3">
      <c r="A20" s="20" t="s">
        <v>18</v>
      </c>
      <c r="B20" s="87" t="str">
        <f t="shared" si="6"/>
        <v>01.07</v>
      </c>
      <c r="C20" s="195" t="s">
        <v>20</v>
      </c>
      <c r="D20" s="239" t="s">
        <v>37</v>
      </c>
      <c r="E20" s="33"/>
      <c r="F20" s="33"/>
      <c r="G20" s="34"/>
      <c r="H20" s="180"/>
      <c r="I20" s="60"/>
      <c r="J20" s="174"/>
      <c r="K20" s="171"/>
      <c r="L20" s="167"/>
      <c r="M20" s="198"/>
      <c r="N20" s="164"/>
      <c r="O20" s="247">
        <f t="shared" si="4"/>
        <v>0</v>
      </c>
      <c r="P20" s="139"/>
      <c r="Q20" s="143"/>
      <c r="R20" s="205" t="str">
        <f t="shared" si="5"/>
        <v>OK</v>
      </c>
      <c r="S20" s="250"/>
      <c r="T20" s="130"/>
      <c r="U20" s="131"/>
      <c r="V20" s="133">
        <f t="shared" si="3"/>
        <v>0</v>
      </c>
    </row>
    <row r="21" spans="1:23" s="16" customFormat="1" ht="13.2" hidden="1" outlineLevel="3" x14ac:dyDescent="0.3">
      <c r="A21" s="20" t="s">
        <v>18</v>
      </c>
      <c r="B21" s="87" t="str">
        <f t="shared" si="6"/>
        <v>01.08</v>
      </c>
      <c r="C21" s="195" t="s">
        <v>20</v>
      </c>
      <c r="D21" s="195" t="s">
        <v>37</v>
      </c>
      <c r="E21" s="33"/>
      <c r="F21" s="33"/>
      <c r="G21" s="34"/>
      <c r="H21" s="180"/>
      <c r="I21" s="60"/>
      <c r="J21" s="174"/>
      <c r="K21" s="171"/>
      <c r="L21" s="167"/>
      <c r="M21" s="198"/>
      <c r="N21" s="164"/>
      <c r="O21" s="247">
        <f t="shared" si="4"/>
        <v>0</v>
      </c>
      <c r="P21" s="139"/>
      <c r="Q21" s="143"/>
      <c r="R21" s="205" t="str">
        <f t="shared" si="5"/>
        <v>OK</v>
      </c>
      <c r="S21" s="250"/>
      <c r="T21" s="130"/>
      <c r="U21" s="131"/>
      <c r="V21" s="133">
        <f t="shared" si="3"/>
        <v>0</v>
      </c>
    </row>
    <row r="22" spans="1:23" s="16" customFormat="1" ht="13.2" hidden="1" outlineLevel="3" x14ac:dyDescent="0.3">
      <c r="A22" s="20" t="s">
        <v>18</v>
      </c>
      <c r="B22" s="87" t="str">
        <f t="shared" si="6"/>
        <v>01.09</v>
      </c>
      <c r="C22" s="195" t="s">
        <v>20</v>
      </c>
      <c r="D22" s="195" t="s">
        <v>37</v>
      </c>
      <c r="E22" s="33"/>
      <c r="F22" s="33"/>
      <c r="G22" s="34"/>
      <c r="H22" s="180"/>
      <c r="I22" s="60"/>
      <c r="J22" s="174"/>
      <c r="K22" s="171"/>
      <c r="L22" s="167"/>
      <c r="M22" s="198"/>
      <c r="N22" s="164"/>
      <c r="O22" s="247">
        <f t="shared" si="4"/>
        <v>0</v>
      </c>
      <c r="P22" s="139"/>
      <c r="Q22" s="144"/>
      <c r="R22" s="205" t="str">
        <f t="shared" si="5"/>
        <v>OK</v>
      </c>
      <c r="S22" s="250"/>
      <c r="T22" s="130"/>
      <c r="U22" s="131"/>
      <c r="V22" s="133">
        <f t="shared" si="3"/>
        <v>0</v>
      </c>
    </row>
    <row r="23" spans="1:23" s="16" customFormat="1" ht="13.8" hidden="1" outlineLevel="3" thickBot="1" x14ac:dyDescent="0.35">
      <c r="A23" s="22" t="s">
        <v>18</v>
      </c>
      <c r="B23" s="88" t="str">
        <f t="shared" si="6"/>
        <v>01.010</v>
      </c>
      <c r="C23" s="196" t="s">
        <v>20</v>
      </c>
      <c r="D23" s="196" t="s">
        <v>37</v>
      </c>
      <c r="E23" s="12"/>
      <c r="F23" s="12"/>
      <c r="G23" s="118"/>
      <c r="H23" s="181"/>
      <c r="I23" s="61"/>
      <c r="J23" s="175"/>
      <c r="K23" s="172"/>
      <c r="L23" s="168"/>
      <c r="M23" s="200"/>
      <c r="N23" s="165"/>
      <c r="O23" s="248">
        <f t="shared" si="4"/>
        <v>0</v>
      </c>
      <c r="P23" s="140"/>
      <c r="Q23" s="145"/>
      <c r="R23" s="205" t="str">
        <f t="shared" si="5"/>
        <v>OK</v>
      </c>
      <c r="S23" s="251"/>
      <c r="T23" s="135"/>
      <c r="U23" s="136"/>
      <c r="V23" s="134">
        <f t="shared" si="3"/>
        <v>0</v>
      </c>
    </row>
    <row r="24" spans="1:23" ht="13.8" hidden="1" outlineLevel="1" thickBot="1" x14ac:dyDescent="0.35">
      <c r="J24" s="3"/>
      <c r="K24" s="3"/>
      <c r="L24" s="3"/>
      <c r="M24" s="3"/>
      <c r="N24" s="3"/>
      <c r="O24" s="244"/>
      <c r="P24" s="3"/>
      <c r="R24" s="86"/>
      <c r="S24" s="3"/>
      <c r="V24" s="3"/>
      <c r="W24" s="3"/>
    </row>
    <row r="25" spans="1:23" ht="13.8" hidden="1" outlineLevel="1" thickBot="1" x14ac:dyDescent="0.35">
      <c r="A25" s="122" t="s">
        <v>40</v>
      </c>
      <c r="B25" s="123"/>
      <c r="C25" s="123"/>
      <c r="D25" s="128"/>
      <c r="E25" s="124"/>
      <c r="F25" s="124"/>
      <c r="G25" s="125"/>
      <c r="H25" s="177"/>
      <c r="I25" s="63"/>
      <c r="J25" s="11">
        <f t="shared" ref="J25:O25" si="7">SUM(J26:J35)</f>
        <v>0</v>
      </c>
      <c r="K25" s="10">
        <f t="shared" si="7"/>
        <v>0</v>
      </c>
      <c r="L25" s="10">
        <f t="shared" si="7"/>
        <v>0</v>
      </c>
      <c r="M25" s="10">
        <f t="shared" si="7"/>
        <v>0</v>
      </c>
      <c r="N25" s="10">
        <f t="shared" si="7"/>
        <v>0</v>
      </c>
      <c r="O25" s="10">
        <f t="shared" si="7"/>
        <v>0</v>
      </c>
      <c r="P25" s="28"/>
      <c r="Q25" s="141"/>
      <c r="S25" s="249"/>
      <c r="T25" s="63"/>
      <c r="U25" s="63"/>
      <c r="V25" s="63"/>
      <c r="W25" s="3"/>
    </row>
    <row r="26" spans="1:23" s="16" customFormat="1" ht="13.2" hidden="1" outlineLevel="3" x14ac:dyDescent="0.3">
      <c r="A26" s="62" t="s">
        <v>18</v>
      </c>
      <c r="B26" s="96" t="str">
        <f>CONCATENATE(MID(A25,2,3),"01")</f>
        <v>02.01</v>
      </c>
      <c r="C26" s="194" t="s">
        <v>20</v>
      </c>
      <c r="D26" s="194" t="s">
        <v>40</v>
      </c>
      <c r="E26" s="31"/>
      <c r="F26" s="31"/>
      <c r="G26" s="30"/>
      <c r="H26" s="180"/>
      <c r="I26" s="59"/>
      <c r="J26" s="173"/>
      <c r="K26" s="170"/>
      <c r="L26" s="166"/>
      <c r="M26" s="197"/>
      <c r="N26" s="163"/>
      <c r="O26" s="246">
        <f>+SUM(J26:N26)</f>
        <v>0</v>
      </c>
      <c r="P26" s="138"/>
      <c r="Q26" s="143"/>
      <c r="R26" s="205" t="str">
        <f t="shared" ref="R26:R89" si="8">+IF(O26=V26,"OK","MAL")</f>
        <v>OK</v>
      </c>
      <c r="S26" s="250"/>
      <c r="T26" s="130"/>
      <c r="U26" s="131"/>
      <c r="V26" s="132">
        <f t="shared" ref="V26:V35" si="9">+T26*U26</f>
        <v>0</v>
      </c>
    </row>
    <row r="27" spans="1:23" s="16" customFormat="1" ht="13.2" hidden="1" outlineLevel="3" x14ac:dyDescent="0.3">
      <c r="A27" s="20" t="s">
        <v>18</v>
      </c>
      <c r="B27" s="87" t="str">
        <f>LEFT(B26,4)&amp;TEXT(RIGHT(B26,2)+1,"0")</f>
        <v>02.02</v>
      </c>
      <c r="C27" s="195" t="s">
        <v>20</v>
      </c>
      <c r="D27" s="195" t="s">
        <v>40</v>
      </c>
      <c r="E27" s="33"/>
      <c r="F27" s="33"/>
      <c r="G27" s="34"/>
      <c r="H27" s="180"/>
      <c r="I27" s="60"/>
      <c r="J27" s="174"/>
      <c r="K27" s="171"/>
      <c r="L27" s="167"/>
      <c r="M27" s="198"/>
      <c r="N27" s="164"/>
      <c r="O27" s="247">
        <f t="shared" ref="O27:O35" si="10">+SUM(J27:N27)</f>
        <v>0</v>
      </c>
      <c r="P27" s="139"/>
      <c r="Q27" s="143"/>
      <c r="R27" s="205" t="str">
        <f t="shared" si="8"/>
        <v>OK</v>
      </c>
      <c r="S27" s="250"/>
      <c r="T27" s="130"/>
      <c r="U27" s="131"/>
      <c r="V27" s="133">
        <f t="shared" si="9"/>
        <v>0</v>
      </c>
    </row>
    <row r="28" spans="1:23" s="16" customFormat="1" ht="13.2" hidden="1" outlineLevel="3" x14ac:dyDescent="0.3">
      <c r="A28" s="20" t="s">
        <v>18</v>
      </c>
      <c r="B28" s="87" t="str">
        <f t="shared" ref="B28:B35" si="11">LEFT(B27,4)&amp;TEXT(RIGHT(B27,2)+1,"0")</f>
        <v>02.03</v>
      </c>
      <c r="C28" s="195" t="s">
        <v>20</v>
      </c>
      <c r="D28" s="195" t="s">
        <v>40</v>
      </c>
      <c r="E28" s="33"/>
      <c r="F28" s="33"/>
      <c r="G28" s="34"/>
      <c r="H28" s="180"/>
      <c r="I28" s="60"/>
      <c r="J28" s="174"/>
      <c r="K28" s="171"/>
      <c r="L28" s="167"/>
      <c r="M28" s="198"/>
      <c r="N28" s="164"/>
      <c r="O28" s="247">
        <f t="shared" si="10"/>
        <v>0</v>
      </c>
      <c r="P28" s="139"/>
      <c r="Q28" s="143"/>
      <c r="R28" s="205" t="str">
        <f t="shared" si="8"/>
        <v>OK</v>
      </c>
      <c r="S28" s="250"/>
      <c r="T28" s="130"/>
      <c r="U28" s="131"/>
      <c r="V28" s="133">
        <f t="shared" si="9"/>
        <v>0</v>
      </c>
    </row>
    <row r="29" spans="1:23" s="16" customFormat="1" ht="13.2" hidden="1" outlineLevel="3" x14ac:dyDescent="0.3">
      <c r="A29" s="20" t="s">
        <v>18</v>
      </c>
      <c r="B29" s="87" t="str">
        <f t="shared" si="11"/>
        <v>02.04</v>
      </c>
      <c r="C29" s="195" t="s">
        <v>20</v>
      </c>
      <c r="D29" s="195" t="s">
        <v>40</v>
      </c>
      <c r="E29" s="33"/>
      <c r="F29" s="33"/>
      <c r="G29" s="34"/>
      <c r="H29" s="180"/>
      <c r="I29" s="60"/>
      <c r="J29" s="174"/>
      <c r="K29" s="171"/>
      <c r="L29" s="167"/>
      <c r="M29" s="199"/>
      <c r="N29" s="164"/>
      <c r="O29" s="247">
        <f t="shared" si="10"/>
        <v>0</v>
      </c>
      <c r="P29" s="139"/>
      <c r="Q29" s="143"/>
      <c r="R29" s="205" t="str">
        <f t="shared" si="8"/>
        <v>OK</v>
      </c>
      <c r="S29" s="250"/>
      <c r="T29" s="130"/>
      <c r="U29" s="131"/>
      <c r="V29" s="133">
        <f t="shared" si="9"/>
        <v>0</v>
      </c>
    </row>
    <row r="30" spans="1:23" s="16" customFormat="1" ht="13.2" hidden="1" outlineLevel="3" x14ac:dyDescent="0.3">
      <c r="A30" s="20" t="s">
        <v>18</v>
      </c>
      <c r="B30" s="87" t="str">
        <f t="shared" si="11"/>
        <v>02.05</v>
      </c>
      <c r="C30" s="195" t="s">
        <v>20</v>
      </c>
      <c r="D30" s="195" t="s">
        <v>40</v>
      </c>
      <c r="E30" s="33"/>
      <c r="F30" s="33"/>
      <c r="G30" s="34"/>
      <c r="H30" s="180"/>
      <c r="I30" s="60"/>
      <c r="J30" s="174"/>
      <c r="K30" s="171"/>
      <c r="L30" s="167"/>
      <c r="M30" s="198"/>
      <c r="N30" s="164"/>
      <c r="O30" s="247">
        <f t="shared" si="10"/>
        <v>0</v>
      </c>
      <c r="P30" s="139"/>
      <c r="Q30" s="143"/>
      <c r="R30" s="205" t="str">
        <f t="shared" si="8"/>
        <v>OK</v>
      </c>
      <c r="S30" s="250"/>
      <c r="T30" s="130"/>
      <c r="U30" s="131"/>
      <c r="V30" s="133">
        <f t="shared" si="9"/>
        <v>0</v>
      </c>
    </row>
    <row r="31" spans="1:23" s="16" customFormat="1" ht="13.2" hidden="1" outlineLevel="3" x14ac:dyDescent="0.3">
      <c r="A31" s="20" t="s">
        <v>18</v>
      </c>
      <c r="B31" s="87" t="str">
        <f t="shared" si="11"/>
        <v>02.06</v>
      </c>
      <c r="C31" s="195" t="s">
        <v>20</v>
      </c>
      <c r="D31" s="195" t="s">
        <v>40</v>
      </c>
      <c r="E31" s="33"/>
      <c r="F31" s="33"/>
      <c r="G31" s="34"/>
      <c r="H31" s="180"/>
      <c r="I31" s="60"/>
      <c r="J31" s="174"/>
      <c r="K31" s="171"/>
      <c r="L31" s="167"/>
      <c r="M31" s="198"/>
      <c r="N31" s="164"/>
      <c r="O31" s="247">
        <f t="shared" si="10"/>
        <v>0</v>
      </c>
      <c r="P31" s="139"/>
      <c r="Q31" s="143"/>
      <c r="R31" s="205" t="str">
        <f t="shared" si="8"/>
        <v>OK</v>
      </c>
      <c r="S31" s="250"/>
      <c r="T31" s="130"/>
      <c r="U31" s="131"/>
      <c r="V31" s="133">
        <f t="shared" si="9"/>
        <v>0</v>
      </c>
    </row>
    <row r="32" spans="1:23" s="16" customFormat="1" ht="13.2" hidden="1" outlineLevel="3" x14ac:dyDescent="0.3">
      <c r="A32" s="20" t="s">
        <v>18</v>
      </c>
      <c r="B32" s="87" t="str">
        <f t="shared" si="11"/>
        <v>02.07</v>
      </c>
      <c r="C32" s="195" t="s">
        <v>20</v>
      </c>
      <c r="D32" s="195" t="s">
        <v>40</v>
      </c>
      <c r="E32" s="33"/>
      <c r="F32" s="33"/>
      <c r="G32" s="34"/>
      <c r="H32" s="180"/>
      <c r="I32" s="60"/>
      <c r="J32" s="174"/>
      <c r="K32" s="171"/>
      <c r="L32" s="167"/>
      <c r="M32" s="198"/>
      <c r="N32" s="164"/>
      <c r="O32" s="247">
        <f t="shared" si="10"/>
        <v>0</v>
      </c>
      <c r="P32" s="139"/>
      <c r="Q32" s="143"/>
      <c r="R32" s="205" t="str">
        <f t="shared" si="8"/>
        <v>OK</v>
      </c>
      <c r="S32" s="250"/>
      <c r="T32" s="130"/>
      <c r="U32" s="131"/>
      <c r="V32" s="133">
        <f t="shared" si="9"/>
        <v>0</v>
      </c>
    </row>
    <row r="33" spans="1:23" s="16" customFormat="1" ht="13.2" hidden="1" outlineLevel="3" x14ac:dyDescent="0.3">
      <c r="A33" s="20" t="s">
        <v>18</v>
      </c>
      <c r="B33" s="87" t="str">
        <f t="shared" si="11"/>
        <v>02.08</v>
      </c>
      <c r="C33" s="195" t="s">
        <v>20</v>
      </c>
      <c r="D33" s="195" t="s">
        <v>40</v>
      </c>
      <c r="E33" s="33"/>
      <c r="F33" s="33"/>
      <c r="G33" s="34"/>
      <c r="H33" s="180"/>
      <c r="I33" s="60"/>
      <c r="J33" s="174"/>
      <c r="K33" s="171"/>
      <c r="L33" s="167"/>
      <c r="M33" s="198"/>
      <c r="N33" s="164"/>
      <c r="O33" s="247">
        <f t="shared" si="10"/>
        <v>0</v>
      </c>
      <c r="P33" s="139"/>
      <c r="Q33" s="143"/>
      <c r="R33" s="205" t="str">
        <f t="shared" si="8"/>
        <v>OK</v>
      </c>
      <c r="S33" s="250"/>
      <c r="T33" s="130"/>
      <c r="U33" s="131"/>
      <c r="V33" s="133">
        <f t="shared" si="9"/>
        <v>0</v>
      </c>
    </row>
    <row r="34" spans="1:23" s="16" customFormat="1" ht="13.2" hidden="1" outlineLevel="3" x14ac:dyDescent="0.3">
      <c r="A34" s="20" t="s">
        <v>18</v>
      </c>
      <c r="B34" s="87" t="str">
        <f t="shared" si="11"/>
        <v>02.09</v>
      </c>
      <c r="C34" s="195" t="s">
        <v>20</v>
      </c>
      <c r="D34" s="195" t="s">
        <v>40</v>
      </c>
      <c r="E34" s="33"/>
      <c r="F34" s="33"/>
      <c r="G34" s="34"/>
      <c r="H34" s="180"/>
      <c r="I34" s="60"/>
      <c r="J34" s="174"/>
      <c r="K34" s="171"/>
      <c r="L34" s="167"/>
      <c r="M34" s="198"/>
      <c r="N34" s="164"/>
      <c r="O34" s="247">
        <f t="shared" si="10"/>
        <v>0</v>
      </c>
      <c r="P34" s="139"/>
      <c r="Q34" s="144"/>
      <c r="R34" s="205" t="str">
        <f t="shared" si="8"/>
        <v>OK</v>
      </c>
      <c r="S34" s="250"/>
      <c r="T34" s="130"/>
      <c r="U34" s="131"/>
      <c r="V34" s="133">
        <f t="shared" si="9"/>
        <v>0</v>
      </c>
    </row>
    <row r="35" spans="1:23" s="16" customFormat="1" ht="13.8" hidden="1" outlineLevel="3" thickBot="1" x14ac:dyDescent="0.35">
      <c r="A35" s="22" t="s">
        <v>18</v>
      </c>
      <c r="B35" s="88" t="str">
        <f t="shared" si="11"/>
        <v>02.010</v>
      </c>
      <c r="C35" s="196" t="s">
        <v>20</v>
      </c>
      <c r="D35" s="196" t="s">
        <v>40</v>
      </c>
      <c r="E35" s="12"/>
      <c r="F35" s="12"/>
      <c r="G35" s="118"/>
      <c r="H35" s="181"/>
      <c r="I35" s="61"/>
      <c r="J35" s="175"/>
      <c r="K35" s="172"/>
      <c r="L35" s="168"/>
      <c r="M35" s="200"/>
      <c r="N35" s="165"/>
      <c r="O35" s="248">
        <f t="shared" si="10"/>
        <v>0</v>
      </c>
      <c r="P35" s="140"/>
      <c r="Q35" s="145"/>
      <c r="R35" s="205" t="str">
        <f t="shared" si="8"/>
        <v>OK</v>
      </c>
      <c r="S35" s="251"/>
      <c r="T35" s="135"/>
      <c r="U35" s="136"/>
      <c r="V35" s="134">
        <f t="shared" si="9"/>
        <v>0</v>
      </c>
    </row>
    <row r="36" spans="1:23" ht="13.8" hidden="1" outlineLevel="1" thickBot="1" x14ac:dyDescent="0.35">
      <c r="J36" s="3"/>
      <c r="K36" s="3"/>
      <c r="L36" s="3"/>
      <c r="M36" s="3"/>
      <c r="N36" s="3"/>
      <c r="O36" s="244"/>
      <c r="P36" s="3"/>
      <c r="R36" s="86"/>
      <c r="S36" s="3"/>
      <c r="V36" s="3"/>
      <c r="W36" s="3"/>
    </row>
    <row r="37" spans="1:23" ht="13.8" hidden="1" outlineLevel="1" thickBot="1" x14ac:dyDescent="0.35">
      <c r="A37" s="122" t="s">
        <v>43</v>
      </c>
      <c r="B37" s="123"/>
      <c r="C37" s="123"/>
      <c r="D37" s="128"/>
      <c r="E37" s="124"/>
      <c r="F37" s="124"/>
      <c r="G37" s="125"/>
      <c r="H37" s="177"/>
      <c r="I37" s="63"/>
      <c r="J37" s="11">
        <f t="shared" ref="J37:O37" si="12">SUM(J38:J47)</f>
        <v>0</v>
      </c>
      <c r="K37" s="10">
        <f t="shared" si="12"/>
        <v>0</v>
      </c>
      <c r="L37" s="10">
        <f t="shared" si="12"/>
        <v>0</v>
      </c>
      <c r="M37" s="10">
        <f t="shared" si="12"/>
        <v>0</v>
      </c>
      <c r="N37" s="10">
        <f t="shared" si="12"/>
        <v>0</v>
      </c>
      <c r="O37" s="10">
        <f t="shared" si="12"/>
        <v>0</v>
      </c>
      <c r="P37" s="28"/>
      <c r="Q37" s="141"/>
      <c r="S37" s="249"/>
      <c r="T37" s="63"/>
      <c r="U37" s="63"/>
      <c r="V37" s="63"/>
      <c r="W37" s="3"/>
    </row>
    <row r="38" spans="1:23" s="16" customFormat="1" ht="13.2" hidden="1" outlineLevel="3" x14ac:dyDescent="0.3">
      <c r="A38" s="62" t="s">
        <v>18</v>
      </c>
      <c r="B38" s="96" t="str">
        <f>CONCATENATE(MID(A37,2,3),"01")</f>
        <v>03.01</v>
      </c>
      <c r="C38" s="194" t="s">
        <v>20</v>
      </c>
      <c r="D38" s="194" t="s">
        <v>43</v>
      </c>
      <c r="E38" s="31"/>
      <c r="F38" s="31"/>
      <c r="G38" s="30"/>
      <c r="H38" s="182"/>
      <c r="I38" s="59"/>
      <c r="J38" s="173"/>
      <c r="K38" s="170"/>
      <c r="L38" s="166"/>
      <c r="M38" s="197"/>
      <c r="N38" s="163"/>
      <c r="O38" s="246">
        <f>+SUM(J38:N38)</f>
        <v>0</v>
      </c>
      <c r="P38" s="138"/>
      <c r="Q38" s="142"/>
      <c r="R38" s="205" t="str">
        <f t="shared" ref="R38" si="13">+IF(O38=V38,"OK","MAL")</f>
        <v>OK</v>
      </c>
      <c r="S38" s="250"/>
      <c r="T38" s="130"/>
      <c r="U38" s="131"/>
      <c r="V38" s="132">
        <f t="shared" ref="V38:V47" si="14">+T38*U38</f>
        <v>0</v>
      </c>
    </row>
    <row r="39" spans="1:23" s="16" customFormat="1" ht="13.2" hidden="1" outlineLevel="3" x14ac:dyDescent="0.3">
      <c r="A39" s="20" t="s">
        <v>18</v>
      </c>
      <c r="B39" s="87" t="str">
        <f>LEFT(B38,4)&amp;TEXT(RIGHT(B38,2)+1,"0")</f>
        <v>03.02</v>
      </c>
      <c r="C39" s="195" t="s">
        <v>20</v>
      </c>
      <c r="D39" s="195" t="s">
        <v>43</v>
      </c>
      <c r="E39" s="33"/>
      <c r="F39" s="33"/>
      <c r="G39" s="34"/>
      <c r="H39" s="180"/>
      <c r="I39" s="60"/>
      <c r="J39" s="174"/>
      <c r="K39" s="171"/>
      <c r="L39" s="167"/>
      <c r="M39" s="198"/>
      <c r="N39" s="164"/>
      <c r="O39" s="247">
        <f t="shared" ref="O39:O47" si="15">+SUM(J39:N39)</f>
        <v>0</v>
      </c>
      <c r="P39" s="139"/>
      <c r="Q39" s="143"/>
      <c r="R39" s="205" t="str">
        <f t="shared" si="8"/>
        <v>OK</v>
      </c>
      <c r="S39" s="250"/>
      <c r="T39" s="130"/>
      <c r="U39" s="131"/>
      <c r="V39" s="133">
        <f t="shared" si="14"/>
        <v>0</v>
      </c>
    </row>
    <row r="40" spans="1:23" s="16" customFormat="1" ht="13.2" hidden="1" outlineLevel="3" x14ac:dyDescent="0.3">
      <c r="A40" s="20" t="s">
        <v>18</v>
      </c>
      <c r="B40" s="87" t="str">
        <f t="shared" ref="B40:B47" si="16">LEFT(B39,4)&amp;TEXT(RIGHT(B39,2)+1,"0")</f>
        <v>03.03</v>
      </c>
      <c r="C40" s="195" t="s">
        <v>20</v>
      </c>
      <c r="D40" s="195" t="s">
        <v>43</v>
      </c>
      <c r="E40" s="33"/>
      <c r="F40" s="33"/>
      <c r="G40" s="34"/>
      <c r="H40" s="180"/>
      <c r="I40" s="60"/>
      <c r="J40" s="174"/>
      <c r="K40" s="171"/>
      <c r="L40" s="167"/>
      <c r="M40" s="198"/>
      <c r="N40" s="164"/>
      <c r="O40" s="247">
        <f t="shared" si="15"/>
        <v>0</v>
      </c>
      <c r="P40" s="139"/>
      <c r="Q40" s="143"/>
      <c r="R40" s="205" t="str">
        <f t="shared" si="8"/>
        <v>OK</v>
      </c>
      <c r="S40" s="250"/>
      <c r="T40" s="130"/>
      <c r="U40" s="131"/>
      <c r="V40" s="133">
        <f t="shared" si="14"/>
        <v>0</v>
      </c>
    </row>
    <row r="41" spans="1:23" s="16" customFormat="1" ht="13.2" hidden="1" outlineLevel="3" x14ac:dyDescent="0.3">
      <c r="A41" s="20" t="s">
        <v>18</v>
      </c>
      <c r="B41" s="87" t="str">
        <f t="shared" si="16"/>
        <v>03.04</v>
      </c>
      <c r="C41" s="195" t="s">
        <v>20</v>
      </c>
      <c r="D41" s="195" t="s">
        <v>43</v>
      </c>
      <c r="E41" s="33"/>
      <c r="F41" s="33"/>
      <c r="G41" s="34"/>
      <c r="H41" s="180"/>
      <c r="I41" s="60"/>
      <c r="J41" s="174"/>
      <c r="K41" s="171"/>
      <c r="L41" s="167"/>
      <c r="M41" s="199"/>
      <c r="N41" s="164"/>
      <c r="O41" s="247">
        <f t="shared" si="15"/>
        <v>0</v>
      </c>
      <c r="P41" s="139"/>
      <c r="Q41" s="143"/>
      <c r="R41" s="205" t="str">
        <f t="shared" si="8"/>
        <v>OK</v>
      </c>
      <c r="S41" s="250"/>
      <c r="T41" s="130"/>
      <c r="U41" s="131"/>
      <c r="V41" s="133">
        <f t="shared" si="14"/>
        <v>0</v>
      </c>
    </row>
    <row r="42" spans="1:23" s="16" customFormat="1" ht="13.2" hidden="1" outlineLevel="3" x14ac:dyDescent="0.3">
      <c r="A42" s="20" t="s">
        <v>18</v>
      </c>
      <c r="B42" s="87" t="str">
        <f t="shared" si="16"/>
        <v>03.05</v>
      </c>
      <c r="C42" s="195" t="s">
        <v>20</v>
      </c>
      <c r="D42" s="195" t="s">
        <v>43</v>
      </c>
      <c r="E42" s="33"/>
      <c r="F42" s="33"/>
      <c r="G42" s="34"/>
      <c r="H42" s="180"/>
      <c r="I42" s="60"/>
      <c r="J42" s="174"/>
      <c r="K42" s="171"/>
      <c r="L42" s="167"/>
      <c r="M42" s="198"/>
      <c r="N42" s="164"/>
      <c r="O42" s="247">
        <f t="shared" si="15"/>
        <v>0</v>
      </c>
      <c r="P42" s="139"/>
      <c r="Q42" s="143"/>
      <c r="R42" s="205" t="str">
        <f t="shared" si="8"/>
        <v>OK</v>
      </c>
      <c r="S42" s="250"/>
      <c r="T42" s="130"/>
      <c r="U42" s="131"/>
      <c r="V42" s="133">
        <f t="shared" si="14"/>
        <v>0</v>
      </c>
    </row>
    <row r="43" spans="1:23" s="16" customFormat="1" ht="13.2" hidden="1" outlineLevel="3" x14ac:dyDescent="0.3">
      <c r="A43" s="20" t="s">
        <v>18</v>
      </c>
      <c r="B43" s="87" t="str">
        <f t="shared" si="16"/>
        <v>03.06</v>
      </c>
      <c r="C43" s="195" t="s">
        <v>20</v>
      </c>
      <c r="D43" s="195" t="s">
        <v>43</v>
      </c>
      <c r="E43" s="33"/>
      <c r="F43" s="33"/>
      <c r="G43" s="34"/>
      <c r="H43" s="180"/>
      <c r="I43" s="60"/>
      <c r="J43" s="174"/>
      <c r="K43" s="171"/>
      <c r="L43" s="167"/>
      <c r="M43" s="198"/>
      <c r="N43" s="164"/>
      <c r="O43" s="247">
        <f t="shared" si="15"/>
        <v>0</v>
      </c>
      <c r="P43" s="139"/>
      <c r="Q43" s="143"/>
      <c r="R43" s="205" t="str">
        <f t="shared" si="8"/>
        <v>OK</v>
      </c>
      <c r="S43" s="250"/>
      <c r="T43" s="130"/>
      <c r="U43" s="131"/>
      <c r="V43" s="133">
        <f t="shared" si="14"/>
        <v>0</v>
      </c>
    </row>
    <row r="44" spans="1:23" s="16" customFormat="1" ht="13.2" hidden="1" outlineLevel="3" x14ac:dyDescent="0.3">
      <c r="A44" s="20" t="s">
        <v>18</v>
      </c>
      <c r="B44" s="87" t="str">
        <f t="shared" si="16"/>
        <v>03.07</v>
      </c>
      <c r="C44" s="195" t="s">
        <v>20</v>
      </c>
      <c r="D44" s="195" t="s">
        <v>43</v>
      </c>
      <c r="E44" s="33"/>
      <c r="F44" s="33"/>
      <c r="G44" s="34"/>
      <c r="H44" s="180"/>
      <c r="I44" s="60"/>
      <c r="J44" s="174"/>
      <c r="K44" s="171"/>
      <c r="L44" s="167"/>
      <c r="M44" s="198"/>
      <c r="N44" s="164"/>
      <c r="O44" s="247">
        <f t="shared" si="15"/>
        <v>0</v>
      </c>
      <c r="P44" s="139"/>
      <c r="Q44" s="143"/>
      <c r="R44" s="205" t="str">
        <f t="shared" si="8"/>
        <v>OK</v>
      </c>
      <c r="S44" s="250"/>
      <c r="T44" s="130"/>
      <c r="U44" s="131"/>
      <c r="V44" s="133">
        <f t="shared" si="14"/>
        <v>0</v>
      </c>
    </row>
    <row r="45" spans="1:23" s="16" customFormat="1" ht="13.2" hidden="1" outlineLevel="3" x14ac:dyDescent="0.3">
      <c r="A45" s="20" t="s">
        <v>18</v>
      </c>
      <c r="B45" s="87" t="str">
        <f t="shared" si="16"/>
        <v>03.08</v>
      </c>
      <c r="C45" s="195" t="s">
        <v>20</v>
      </c>
      <c r="D45" s="195" t="s">
        <v>43</v>
      </c>
      <c r="E45" s="33"/>
      <c r="F45" s="33"/>
      <c r="G45" s="34"/>
      <c r="H45" s="180"/>
      <c r="I45" s="60"/>
      <c r="J45" s="174"/>
      <c r="K45" s="171"/>
      <c r="L45" s="167"/>
      <c r="M45" s="198"/>
      <c r="N45" s="164"/>
      <c r="O45" s="247">
        <f t="shared" si="15"/>
        <v>0</v>
      </c>
      <c r="P45" s="139"/>
      <c r="Q45" s="143"/>
      <c r="R45" s="205" t="str">
        <f t="shared" si="8"/>
        <v>OK</v>
      </c>
      <c r="S45" s="250"/>
      <c r="T45" s="130"/>
      <c r="U45" s="131"/>
      <c r="V45" s="133">
        <f t="shared" si="14"/>
        <v>0</v>
      </c>
    </row>
    <row r="46" spans="1:23" s="16" customFormat="1" ht="13.2" hidden="1" outlineLevel="3" x14ac:dyDescent="0.3">
      <c r="A46" s="20" t="s">
        <v>18</v>
      </c>
      <c r="B46" s="87" t="str">
        <f t="shared" si="16"/>
        <v>03.09</v>
      </c>
      <c r="C46" s="195" t="s">
        <v>20</v>
      </c>
      <c r="D46" s="195" t="s">
        <v>43</v>
      </c>
      <c r="E46" s="33"/>
      <c r="F46" s="33"/>
      <c r="G46" s="34"/>
      <c r="H46" s="180"/>
      <c r="I46" s="60"/>
      <c r="J46" s="174"/>
      <c r="K46" s="171"/>
      <c r="L46" s="167"/>
      <c r="M46" s="198"/>
      <c r="N46" s="164"/>
      <c r="O46" s="247">
        <f t="shared" si="15"/>
        <v>0</v>
      </c>
      <c r="P46" s="139"/>
      <c r="Q46" s="144"/>
      <c r="R46" s="205" t="str">
        <f t="shared" si="8"/>
        <v>OK</v>
      </c>
      <c r="S46" s="250"/>
      <c r="T46" s="130"/>
      <c r="U46" s="131"/>
      <c r="V46" s="133">
        <f t="shared" si="14"/>
        <v>0</v>
      </c>
    </row>
    <row r="47" spans="1:23" s="16" customFormat="1" ht="13.8" hidden="1" outlineLevel="3" thickBot="1" x14ac:dyDescent="0.35">
      <c r="A47" s="22" t="s">
        <v>18</v>
      </c>
      <c r="B47" s="88" t="str">
        <f t="shared" si="16"/>
        <v>03.010</v>
      </c>
      <c r="C47" s="196" t="s">
        <v>20</v>
      </c>
      <c r="D47" s="196" t="s">
        <v>43</v>
      </c>
      <c r="E47" s="12"/>
      <c r="F47" s="12"/>
      <c r="G47" s="118"/>
      <c r="H47" s="181"/>
      <c r="I47" s="61"/>
      <c r="J47" s="175"/>
      <c r="K47" s="172"/>
      <c r="L47" s="168"/>
      <c r="M47" s="200"/>
      <c r="N47" s="165"/>
      <c r="O47" s="248">
        <f t="shared" si="15"/>
        <v>0</v>
      </c>
      <c r="P47" s="140"/>
      <c r="Q47" s="145"/>
      <c r="R47" s="205" t="str">
        <f t="shared" si="8"/>
        <v>OK</v>
      </c>
      <c r="S47" s="251"/>
      <c r="T47" s="135"/>
      <c r="U47" s="136"/>
      <c r="V47" s="134">
        <f t="shared" si="14"/>
        <v>0</v>
      </c>
    </row>
    <row r="48" spans="1:23" ht="13.8" hidden="1" outlineLevel="1" thickBot="1" x14ac:dyDescent="0.35">
      <c r="J48" s="3"/>
      <c r="K48" s="3"/>
      <c r="L48" s="3"/>
      <c r="M48" s="3"/>
      <c r="N48" s="3"/>
      <c r="O48" s="244"/>
      <c r="P48" s="3"/>
      <c r="R48" s="86"/>
      <c r="S48" s="3"/>
      <c r="V48" s="3"/>
      <c r="W48" s="3"/>
    </row>
    <row r="49" spans="1:23" ht="13.8" hidden="1" outlineLevel="1" thickBot="1" x14ac:dyDescent="0.35">
      <c r="A49" s="122" t="s">
        <v>45</v>
      </c>
      <c r="B49" s="123"/>
      <c r="C49" s="123"/>
      <c r="D49" s="128"/>
      <c r="E49" s="124"/>
      <c r="F49" s="124"/>
      <c r="G49" s="125"/>
      <c r="H49" s="177"/>
      <c r="I49" s="63"/>
      <c r="J49" s="11">
        <f t="shared" ref="J49:O49" si="17">SUM(J50:J59)</f>
        <v>0</v>
      </c>
      <c r="K49" s="10">
        <f t="shared" si="17"/>
        <v>0</v>
      </c>
      <c r="L49" s="10">
        <f t="shared" si="17"/>
        <v>0</v>
      </c>
      <c r="M49" s="10">
        <f t="shared" si="17"/>
        <v>0</v>
      </c>
      <c r="N49" s="10">
        <f t="shared" si="17"/>
        <v>0</v>
      </c>
      <c r="O49" s="10">
        <f t="shared" si="17"/>
        <v>0</v>
      </c>
      <c r="P49" s="28"/>
      <c r="Q49" s="141"/>
      <c r="S49" s="249"/>
      <c r="T49" s="63"/>
      <c r="U49" s="63"/>
      <c r="V49" s="63"/>
      <c r="W49" s="3"/>
    </row>
    <row r="50" spans="1:23" s="16" customFormat="1" ht="13.2" hidden="1" outlineLevel="3" x14ac:dyDescent="0.3">
      <c r="A50" s="62" t="s">
        <v>18</v>
      </c>
      <c r="B50" s="96" t="str">
        <f>CONCATENATE(MID(A49,2,3),"01")</f>
        <v>04.01</v>
      </c>
      <c r="C50" s="194" t="s">
        <v>20</v>
      </c>
      <c r="D50" s="194" t="s">
        <v>45</v>
      </c>
      <c r="E50" s="31"/>
      <c r="F50" s="31"/>
      <c r="G50" s="30"/>
      <c r="H50" s="182"/>
      <c r="I50" s="59"/>
      <c r="J50" s="173"/>
      <c r="K50" s="170"/>
      <c r="L50" s="166"/>
      <c r="M50" s="197"/>
      <c r="N50" s="163"/>
      <c r="O50" s="246">
        <f>+SUM(J50:N50)</f>
        <v>0</v>
      </c>
      <c r="P50" s="138"/>
      <c r="Q50" s="143"/>
      <c r="R50" s="205" t="str">
        <f t="shared" ref="R50" si="18">+IF(O50=V50,"OK","MAL")</f>
        <v>OK</v>
      </c>
      <c r="S50" s="250"/>
      <c r="T50" s="130"/>
      <c r="U50" s="131"/>
      <c r="V50" s="132">
        <f t="shared" ref="V50:V59" si="19">+T50*U50</f>
        <v>0</v>
      </c>
    </row>
    <row r="51" spans="1:23" s="16" customFormat="1" ht="13.2" hidden="1" outlineLevel="3" x14ac:dyDescent="0.3">
      <c r="A51" s="20" t="s">
        <v>18</v>
      </c>
      <c r="B51" s="87" t="str">
        <f>LEFT(B50,4)&amp;TEXT(RIGHT(B50,2)+1,"0")</f>
        <v>04.02</v>
      </c>
      <c r="C51" s="195" t="s">
        <v>20</v>
      </c>
      <c r="D51" s="195" t="s">
        <v>45</v>
      </c>
      <c r="E51" s="33"/>
      <c r="F51" s="33"/>
      <c r="G51" s="34"/>
      <c r="H51" s="180"/>
      <c r="I51" s="60"/>
      <c r="J51" s="174"/>
      <c r="K51" s="171"/>
      <c r="L51" s="167"/>
      <c r="M51" s="198"/>
      <c r="N51" s="164"/>
      <c r="O51" s="247">
        <f t="shared" ref="O51:O59" si="20">+SUM(J51:N51)</f>
        <v>0</v>
      </c>
      <c r="P51" s="139"/>
      <c r="Q51" s="143"/>
      <c r="R51" s="205" t="str">
        <f t="shared" si="8"/>
        <v>OK</v>
      </c>
      <c r="S51" s="250"/>
      <c r="T51" s="130"/>
      <c r="U51" s="131"/>
      <c r="V51" s="133">
        <f t="shared" si="19"/>
        <v>0</v>
      </c>
    </row>
    <row r="52" spans="1:23" s="16" customFormat="1" ht="13.2" hidden="1" outlineLevel="3" x14ac:dyDescent="0.3">
      <c r="A52" s="20" t="s">
        <v>18</v>
      </c>
      <c r="B52" s="87" t="str">
        <f t="shared" ref="B52:B59" si="21">LEFT(B51,4)&amp;TEXT(RIGHT(B51,2)+1,"0")</f>
        <v>04.03</v>
      </c>
      <c r="C52" s="195" t="s">
        <v>20</v>
      </c>
      <c r="D52" s="195" t="s">
        <v>45</v>
      </c>
      <c r="E52" s="33"/>
      <c r="F52" s="33"/>
      <c r="G52" s="34"/>
      <c r="H52" s="180"/>
      <c r="I52" s="60"/>
      <c r="J52" s="174"/>
      <c r="K52" s="171"/>
      <c r="L52" s="167"/>
      <c r="M52" s="198"/>
      <c r="N52" s="164"/>
      <c r="O52" s="247">
        <f t="shared" si="20"/>
        <v>0</v>
      </c>
      <c r="P52" s="139"/>
      <c r="Q52" s="143"/>
      <c r="R52" s="205" t="str">
        <f t="shared" si="8"/>
        <v>OK</v>
      </c>
      <c r="S52" s="250"/>
      <c r="T52" s="130"/>
      <c r="U52" s="131"/>
      <c r="V52" s="133">
        <f t="shared" si="19"/>
        <v>0</v>
      </c>
    </row>
    <row r="53" spans="1:23" s="16" customFormat="1" ht="13.2" hidden="1" outlineLevel="3" x14ac:dyDescent="0.3">
      <c r="A53" s="20" t="s">
        <v>18</v>
      </c>
      <c r="B53" s="87" t="str">
        <f t="shared" si="21"/>
        <v>04.04</v>
      </c>
      <c r="C53" s="195" t="s">
        <v>20</v>
      </c>
      <c r="D53" s="195" t="s">
        <v>45</v>
      </c>
      <c r="E53" s="33"/>
      <c r="F53" s="33"/>
      <c r="G53" s="34"/>
      <c r="H53" s="180"/>
      <c r="I53" s="60"/>
      <c r="J53" s="174"/>
      <c r="K53" s="171"/>
      <c r="L53" s="167"/>
      <c r="M53" s="199"/>
      <c r="N53" s="164"/>
      <c r="O53" s="247">
        <f t="shared" si="20"/>
        <v>0</v>
      </c>
      <c r="P53" s="139"/>
      <c r="Q53" s="143"/>
      <c r="R53" s="205" t="str">
        <f t="shared" si="8"/>
        <v>OK</v>
      </c>
      <c r="S53" s="250"/>
      <c r="T53" s="130"/>
      <c r="U53" s="131"/>
      <c r="V53" s="133">
        <f t="shared" si="19"/>
        <v>0</v>
      </c>
    </row>
    <row r="54" spans="1:23" s="16" customFormat="1" ht="13.2" hidden="1" outlineLevel="3" x14ac:dyDescent="0.3">
      <c r="A54" s="20" t="s">
        <v>18</v>
      </c>
      <c r="B54" s="87" t="str">
        <f t="shared" si="21"/>
        <v>04.05</v>
      </c>
      <c r="C54" s="195" t="s">
        <v>20</v>
      </c>
      <c r="D54" s="195" t="s">
        <v>45</v>
      </c>
      <c r="E54" s="33"/>
      <c r="F54" s="33"/>
      <c r="G54" s="34"/>
      <c r="H54" s="180"/>
      <c r="I54" s="60"/>
      <c r="J54" s="174"/>
      <c r="K54" s="171"/>
      <c r="L54" s="167"/>
      <c r="M54" s="198"/>
      <c r="N54" s="164"/>
      <c r="O54" s="247">
        <f t="shared" si="20"/>
        <v>0</v>
      </c>
      <c r="P54" s="139"/>
      <c r="Q54" s="143"/>
      <c r="R54" s="205" t="str">
        <f t="shared" si="8"/>
        <v>OK</v>
      </c>
      <c r="S54" s="250"/>
      <c r="T54" s="130"/>
      <c r="U54" s="131"/>
      <c r="V54" s="133">
        <f t="shared" si="19"/>
        <v>0</v>
      </c>
    </row>
    <row r="55" spans="1:23" s="16" customFormat="1" ht="13.2" hidden="1" outlineLevel="3" x14ac:dyDescent="0.3">
      <c r="A55" s="20" t="s">
        <v>18</v>
      </c>
      <c r="B55" s="87" t="str">
        <f t="shared" si="21"/>
        <v>04.06</v>
      </c>
      <c r="C55" s="195" t="s">
        <v>20</v>
      </c>
      <c r="D55" s="195" t="s">
        <v>45</v>
      </c>
      <c r="E55" s="33"/>
      <c r="F55" s="33"/>
      <c r="G55" s="34"/>
      <c r="H55" s="180"/>
      <c r="I55" s="60"/>
      <c r="J55" s="174"/>
      <c r="K55" s="171"/>
      <c r="L55" s="167"/>
      <c r="M55" s="198"/>
      <c r="N55" s="164"/>
      <c r="O55" s="247">
        <f t="shared" si="20"/>
        <v>0</v>
      </c>
      <c r="P55" s="139"/>
      <c r="Q55" s="143"/>
      <c r="R55" s="205" t="str">
        <f t="shared" si="8"/>
        <v>OK</v>
      </c>
      <c r="S55" s="250"/>
      <c r="T55" s="130"/>
      <c r="U55" s="131"/>
      <c r="V55" s="133">
        <f t="shared" si="19"/>
        <v>0</v>
      </c>
    </row>
    <row r="56" spans="1:23" s="16" customFormat="1" ht="13.2" hidden="1" outlineLevel="3" x14ac:dyDescent="0.3">
      <c r="A56" s="20" t="s">
        <v>18</v>
      </c>
      <c r="B56" s="87" t="str">
        <f t="shared" si="21"/>
        <v>04.07</v>
      </c>
      <c r="C56" s="195" t="s">
        <v>20</v>
      </c>
      <c r="D56" s="195" t="s">
        <v>45</v>
      </c>
      <c r="E56" s="33"/>
      <c r="F56" s="33"/>
      <c r="G56" s="34"/>
      <c r="H56" s="180"/>
      <c r="I56" s="60"/>
      <c r="J56" s="174"/>
      <c r="K56" s="171"/>
      <c r="L56" s="167"/>
      <c r="M56" s="198"/>
      <c r="N56" s="164"/>
      <c r="O56" s="247">
        <f t="shared" si="20"/>
        <v>0</v>
      </c>
      <c r="P56" s="139"/>
      <c r="Q56" s="143"/>
      <c r="R56" s="205" t="str">
        <f t="shared" si="8"/>
        <v>OK</v>
      </c>
      <c r="S56" s="250"/>
      <c r="T56" s="130"/>
      <c r="U56" s="131"/>
      <c r="V56" s="133">
        <f t="shared" si="19"/>
        <v>0</v>
      </c>
    </row>
    <row r="57" spans="1:23" s="16" customFormat="1" ht="13.2" hidden="1" outlineLevel="3" x14ac:dyDescent="0.3">
      <c r="A57" s="20" t="s">
        <v>18</v>
      </c>
      <c r="B57" s="87" t="str">
        <f t="shared" si="21"/>
        <v>04.08</v>
      </c>
      <c r="C57" s="195" t="s">
        <v>20</v>
      </c>
      <c r="D57" s="195" t="s">
        <v>45</v>
      </c>
      <c r="E57" s="33"/>
      <c r="F57" s="33"/>
      <c r="G57" s="34"/>
      <c r="H57" s="180"/>
      <c r="I57" s="60"/>
      <c r="J57" s="174"/>
      <c r="K57" s="171"/>
      <c r="L57" s="167"/>
      <c r="M57" s="198"/>
      <c r="N57" s="164"/>
      <c r="O57" s="247">
        <f t="shared" si="20"/>
        <v>0</v>
      </c>
      <c r="P57" s="139"/>
      <c r="Q57" s="143"/>
      <c r="R57" s="205" t="str">
        <f t="shared" si="8"/>
        <v>OK</v>
      </c>
      <c r="S57" s="250"/>
      <c r="T57" s="130"/>
      <c r="U57" s="131"/>
      <c r="V57" s="133">
        <f t="shared" si="19"/>
        <v>0</v>
      </c>
    </row>
    <row r="58" spans="1:23" s="16" customFormat="1" ht="13.2" hidden="1" outlineLevel="3" x14ac:dyDescent="0.3">
      <c r="A58" s="20" t="s">
        <v>18</v>
      </c>
      <c r="B58" s="87" t="str">
        <f t="shared" si="21"/>
        <v>04.09</v>
      </c>
      <c r="C58" s="195" t="s">
        <v>20</v>
      </c>
      <c r="D58" s="195" t="s">
        <v>45</v>
      </c>
      <c r="E58" s="33"/>
      <c r="F58" s="33"/>
      <c r="G58" s="34"/>
      <c r="H58" s="180"/>
      <c r="I58" s="60"/>
      <c r="J58" s="174"/>
      <c r="K58" s="171"/>
      <c r="L58" s="167"/>
      <c r="M58" s="198"/>
      <c r="N58" s="164"/>
      <c r="O58" s="247">
        <f t="shared" si="20"/>
        <v>0</v>
      </c>
      <c r="P58" s="139"/>
      <c r="Q58" s="144"/>
      <c r="R58" s="205" t="str">
        <f t="shared" si="8"/>
        <v>OK</v>
      </c>
      <c r="S58" s="250"/>
      <c r="T58" s="130"/>
      <c r="U58" s="131"/>
      <c r="V58" s="133">
        <f t="shared" si="19"/>
        <v>0</v>
      </c>
    </row>
    <row r="59" spans="1:23" s="16" customFormat="1" ht="13.8" hidden="1" outlineLevel="3" thickBot="1" x14ac:dyDescent="0.35">
      <c r="A59" s="22" t="s">
        <v>18</v>
      </c>
      <c r="B59" s="88" t="str">
        <f t="shared" si="21"/>
        <v>04.010</v>
      </c>
      <c r="C59" s="196" t="s">
        <v>20</v>
      </c>
      <c r="D59" s="196" t="s">
        <v>45</v>
      </c>
      <c r="E59" s="12"/>
      <c r="F59" s="12"/>
      <c r="G59" s="118"/>
      <c r="H59" s="181"/>
      <c r="I59" s="61"/>
      <c r="J59" s="175"/>
      <c r="K59" s="172"/>
      <c r="L59" s="168"/>
      <c r="M59" s="200"/>
      <c r="N59" s="165"/>
      <c r="O59" s="248">
        <f t="shared" si="20"/>
        <v>0</v>
      </c>
      <c r="P59" s="140"/>
      <c r="Q59" s="145"/>
      <c r="R59" s="205" t="str">
        <f t="shared" si="8"/>
        <v>OK</v>
      </c>
      <c r="S59" s="251"/>
      <c r="T59" s="135"/>
      <c r="U59" s="136"/>
      <c r="V59" s="134">
        <f t="shared" si="19"/>
        <v>0</v>
      </c>
    </row>
    <row r="60" spans="1:23" ht="13.8" hidden="1" outlineLevel="1" thickBot="1" x14ac:dyDescent="0.35">
      <c r="J60" s="3"/>
      <c r="K60" s="3"/>
      <c r="L60" s="3"/>
      <c r="M60" s="3"/>
      <c r="N60" s="3"/>
      <c r="O60" s="244"/>
      <c r="P60" s="3"/>
      <c r="R60" s="86"/>
      <c r="S60" s="3"/>
      <c r="V60" s="3"/>
      <c r="W60" s="3"/>
    </row>
    <row r="61" spans="1:23" ht="13.8" hidden="1" outlineLevel="1" thickBot="1" x14ac:dyDescent="0.35">
      <c r="A61" s="122" t="s">
        <v>46</v>
      </c>
      <c r="B61" s="123"/>
      <c r="C61" s="123"/>
      <c r="D61" s="128"/>
      <c r="E61" s="124"/>
      <c r="F61" s="124"/>
      <c r="G61" s="125"/>
      <c r="H61" s="177"/>
      <c r="I61" s="63"/>
      <c r="J61" s="11">
        <f t="shared" ref="J61:O61" si="22">SUM(J62:J71)</f>
        <v>0</v>
      </c>
      <c r="K61" s="10">
        <f t="shared" si="22"/>
        <v>0</v>
      </c>
      <c r="L61" s="10">
        <f t="shared" si="22"/>
        <v>0</v>
      </c>
      <c r="M61" s="10">
        <f t="shared" si="22"/>
        <v>0</v>
      </c>
      <c r="N61" s="10">
        <f t="shared" si="22"/>
        <v>0</v>
      </c>
      <c r="O61" s="10">
        <f t="shared" si="22"/>
        <v>0</v>
      </c>
      <c r="P61" s="28"/>
      <c r="Q61" s="141"/>
      <c r="S61" s="249"/>
      <c r="T61" s="63"/>
      <c r="U61" s="63"/>
      <c r="V61" s="63"/>
      <c r="W61" s="3"/>
    </row>
    <row r="62" spans="1:23" s="16" customFormat="1" ht="13.2" hidden="1" outlineLevel="3" x14ac:dyDescent="0.3">
      <c r="A62" s="62" t="s">
        <v>18</v>
      </c>
      <c r="B62" s="96" t="str">
        <f>CONCATENATE(MID(A61,2,3),"01")</f>
        <v>05.01</v>
      </c>
      <c r="C62" s="194" t="s">
        <v>20</v>
      </c>
      <c r="D62" s="194" t="s">
        <v>46</v>
      </c>
      <c r="E62" s="31"/>
      <c r="F62" s="31"/>
      <c r="G62" s="30"/>
      <c r="H62" s="182"/>
      <c r="I62" s="59"/>
      <c r="J62" s="173"/>
      <c r="K62" s="170"/>
      <c r="L62" s="166"/>
      <c r="M62" s="197"/>
      <c r="N62" s="163"/>
      <c r="O62" s="246">
        <f>+SUM(J62:N62)</f>
        <v>0</v>
      </c>
      <c r="P62" s="138"/>
      <c r="Q62" s="143"/>
      <c r="R62" s="205" t="str">
        <f t="shared" ref="R62" si="23">+IF(O62=V62,"OK","MAL")</f>
        <v>OK</v>
      </c>
      <c r="S62" s="250"/>
      <c r="T62" s="130"/>
      <c r="U62" s="131"/>
      <c r="V62" s="132">
        <f t="shared" ref="V62:V71" si="24">+T62*U62</f>
        <v>0</v>
      </c>
    </row>
    <row r="63" spans="1:23" s="16" customFormat="1" ht="13.2" hidden="1" outlineLevel="3" x14ac:dyDescent="0.3">
      <c r="A63" s="20" t="s">
        <v>18</v>
      </c>
      <c r="B63" s="87" t="str">
        <f>LEFT(B62,4)&amp;TEXT(RIGHT(B62,2)+1,"0")</f>
        <v>05.02</v>
      </c>
      <c r="C63" s="195" t="s">
        <v>20</v>
      </c>
      <c r="D63" s="195" t="s">
        <v>46</v>
      </c>
      <c r="E63" s="33"/>
      <c r="F63" s="33"/>
      <c r="G63" s="34"/>
      <c r="H63" s="180"/>
      <c r="I63" s="60"/>
      <c r="J63" s="174"/>
      <c r="K63" s="171"/>
      <c r="L63" s="167"/>
      <c r="M63" s="198"/>
      <c r="N63" s="164"/>
      <c r="O63" s="247">
        <f t="shared" ref="O63:O71" si="25">+SUM(J63:N63)</f>
        <v>0</v>
      </c>
      <c r="P63" s="139"/>
      <c r="Q63" s="143"/>
      <c r="R63" s="205" t="str">
        <f t="shared" si="8"/>
        <v>OK</v>
      </c>
      <c r="S63" s="250"/>
      <c r="T63" s="130"/>
      <c r="U63" s="131"/>
      <c r="V63" s="133">
        <f t="shared" si="24"/>
        <v>0</v>
      </c>
    </row>
    <row r="64" spans="1:23" s="16" customFormat="1" ht="13.2" hidden="1" outlineLevel="3" x14ac:dyDescent="0.3">
      <c r="A64" s="20" t="s">
        <v>18</v>
      </c>
      <c r="B64" s="87" t="str">
        <f t="shared" ref="B64:B71" si="26">LEFT(B63,4)&amp;TEXT(RIGHT(B63,2)+1,"0")</f>
        <v>05.03</v>
      </c>
      <c r="C64" s="195" t="s">
        <v>20</v>
      </c>
      <c r="D64" s="195" t="s">
        <v>46</v>
      </c>
      <c r="E64" s="33"/>
      <c r="F64" s="33"/>
      <c r="G64" s="34"/>
      <c r="H64" s="180"/>
      <c r="I64" s="60"/>
      <c r="J64" s="174"/>
      <c r="K64" s="171"/>
      <c r="L64" s="167"/>
      <c r="M64" s="198"/>
      <c r="N64" s="164"/>
      <c r="O64" s="247">
        <f t="shared" si="25"/>
        <v>0</v>
      </c>
      <c r="P64" s="139"/>
      <c r="Q64" s="143"/>
      <c r="R64" s="205" t="str">
        <f t="shared" si="8"/>
        <v>OK</v>
      </c>
      <c r="S64" s="250"/>
      <c r="T64" s="130"/>
      <c r="U64" s="131"/>
      <c r="V64" s="133">
        <f t="shared" si="24"/>
        <v>0</v>
      </c>
    </row>
    <row r="65" spans="1:23" s="16" customFormat="1" ht="13.2" hidden="1" outlineLevel="3" x14ac:dyDescent="0.3">
      <c r="A65" s="20" t="s">
        <v>18</v>
      </c>
      <c r="B65" s="87" t="str">
        <f t="shared" si="26"/>
        <v>05.04</v>
      </c>
      <c r="C65" s="195" t="s">
        <v>20</v>
      </c>
      <c r="D65" s="195" t="s">
        <v>46</v>
      </c>
      <c r="E65" s="33"/>
      <c r="F65" s="33"/>
      <c r="G65" s="34"/>
      <c r="H65" s="180"/>
      <c r="I65" s="60"/>
      <c r="J65" s="174"/>
      <c r="K65" s="171"/>
      <c r="L65" s="167"/>
      <c r="M65" s="199"/>
      <c r="N65" s="164"/>
      <c r="O65" s="247">
        <f t="shared" si="25"/>
        <v>0</v>
      </c>
      <c r="P65" s="139"/>
      <c r="Q65" s="143"/>
      <c r="R65" s="205" t="str">
        <f t="shared" si="8"/>
        <v>OK</v>
      </c>
      <c r="S65" s="250"/>
      <c r="T65" s="130"/>
      <c r="U65" s="131"/>
      <c r="V65" s="133">
        <f t="shared" si="24"/>
        <v>0</v>
      </c>
    </row>
    <row r="66" spans="1:23" s="16" customFormat="1" ht="13.2" hidden="1" outlineLevel="3" x14ac:dyDescent="0.3">
      <c r="A66" s="20" t="s">
        <v>18</v>
      </c>
      <c r="B66" s="87" t="str">
        <f t="shared" si="26"/>
        <v>05.05</v>
      </c>
      <c r="C66" s="195" t="s">
        <v>20</v>
      </c>
      <c r="D66" s="195" t="s">
        <v>46</v>
      </c>
      <c r="E66" s="33"/>
      <c r="F66" s="33"/>
      <c r="G66" s="34"/>
      <c r="H66" s="180"/>
      <c r="I66" s="60"/>
      <c r="J66" s="174"/>
      <c r="K66" s="171"/>
      <c r="L66" s="167"/>
      <c r="M66" s="198"/>
      <c r="N66" s="164"/>
      <c r="O66" s="247">
        <f t="shared" si="25"/>
        <v>0</v>
      </c>
      <c r="P66" s="139"/>
      <c r="Q66" s="143"/>
      <c r="R66" s="205" t="str">
        <f t="shared" si="8"/>
        <v>OK</v>
      </c>
      <c r="S66" s="250"/>
      <c r="T66" s="130"/>
      <c r="U66" s="131"/>
      <c r="V66" s="133">
        <f t="shared" si="24"/>
        <v>0</v>
      </c>
    </row>
    <row r="67" spans="1:23" s="16" customFormat="1" ht="13.2" hidden="1" outlineLevel="3" x14ac:dyDescent="0.3">
      <c r="A67" s="20" t="s">
        <v>18</v>
      </c>
      <c r="B67" s="87" t="str">
        <f t="shared" si="26"/>
        <v>05.06</v>
      </c>
      <c r="C67" s="195" t="s">
        <v>20</v>
      </c>
      <c r="D67" s="195" t="s">
        <v>46</v>
      </c>
      <c r="E67" s="33"/>
      <c r="F67" s="33"/>
      <c r="G67" s="34"/>
      <c r="H67" s="180"/>
      <c r="I67" s="60"/>
      <c r="J67" s="174"/>
      <c r="K67" s="171"/>
      <c r="L67" s="167"/>
      <c r="M67" s="198"/>
      <c r="N67" s="164"/>
      <c r="O67" s="247">
        <f t="shared" si="25"/>
        <v>0</v>
      </c>
      <c r="P67" s="139"/>
      <c r="Q67" s="143"/>
      <c r="R67" s="205" t="str">
        <f t="shared" si="8"/>
        <v>OK</v>
      </c>
      <c r="S67" s="250"/>
      <c r="T67" s="130"/>
      <c r="U67" s="131"/>
      <c r="V67" s="133">
        <f t="shared" si="24"/>
        <v>0</v>
      </c>
    </row>
    <row r="68" spans="1:23" s="16" customFormat="1" ht="13.2" hidden="1" outlineLevel="3" x14ac:dyDescent="0.3">
      <c r="A68" s="20" t="s">
        <v>18</v>
      </c>
      <c r="B68" s="87" t="str">
        <f t="shared" si="26"/>
        <v>05.07</v>
      </c>
      <c r="C68" s="195" t="s">
        <v>20</v>
      </c>
      <c r="D68" s="195" t="s">
        <v>46</v>
      </c>
      <c r="E68" s="33"/>
      <c r="F68" s="33"/>
      <c r="G68" s="34"/>
      <c r="H68" s="180"/>
      <c r="I68" s="60"/>
      <c r="J68" s="174"/>
      <c r="K68" s="171"/>
      <c r="L68" s="167"/>
      <c r="M68" s="198"/>
      <c r="N68" s="164"/>
      <c r="O68" s="247">
        <f t="shared" si="25"/>
        <v>0</v>
      </c>
      <c r="P68" s="139"/>
      <c r="Q68" s="143"/>
      <c r="R68" s="205" t="str">
        <f t="shared" si="8"/>
        <v>OK</v>
      </c>
      <c r="S68" s="250"/>
      <c r="T68" s="130"/>
      <c r="U68" s="131"/>
      <c r="V68" s="133">
        <f t="shared" si="24"/>
        <v>0</v>
      </c>
    </row>
    <row r="69" spans="1:23" s="16" customFormat="1" ht="13.2" hidden="1" outlineLevel="3" x14ac:dyDescent="0.3">
      <c r="A69" s="20" t="s">
        <v>18</v>
      </c>
      <c r="B69" s="87" t="str">
        <f t="shared" si="26"/>
        <v>05.08</v>
      </c>
      <c r="C69" s="195" t="s">
        <v>20</v>
      </c>
      <c r="D69" s="195" t="s">
        <v>46</v>
      </c>
      <c r="E69" s="33"/>
      <c r="F69" s="33"/>
      <c r="G69" s="34"/>
      <c r="H69" s="180"/>
      <c r="I69" s="60"/>
      <c r="J69" s="174"/>
      <c r="K69" s="171"/>
      <c r="L69" s="167"/>
      <c r="M69" s="198"/>
      <c r="N69" s="164"/>
      <c r="O69" s="247">
        <f t="shared" si="25"/>
        <v>0</v>
      </c>
      <c r="P69" s="139"/>
      <c r="Q69" s="143"/>
      <c r="R69" s="205" t="str">
        <f t="shared" si="8"/>
        <v>OK</v>
      </c>
      <c r="S69" s="250"/>
      <c r="T69" s="130"/>
      <c r="U69" s="131"/>
      <c r="V69" s="133">
        <f t="shared" si="24"/>
        <v>0</v>
      </c>
    </row>
    <row r="70" spans="1:23" s="16" customFormat="1" ht="13.2" hidden="1" outlineLevel="3" x14ac:dyDescent="0.3">
      <c r="A70" s="20" t="s">
        <v>18</v>
      </c>
      <c r="B70" s="87" t="str">
        <f t="shared" si="26"/>
        <v>05.09</v>
      </c>
      <c r="C70" s="195" t="s">
        <v>20</v>
      </c>
      <c r="D70" s="195" t="s">
        <v>46</v>
      </c>
      <c r="E70" s="33"/>
      <c r="F70" s="33"/>
      <c r="G70" s="34"/>
      <c r="H70" s="180"/>
      <c r="I70" s="60"/>
      <c r="J70" s="174"/>
      <c r="K70" s="171"/>
      <c r="L70" s="167"/>
      <c r="M70" s="198"/>
      <c r="N70" s="164"/>
      <c r="O70" s="247">
        <f t="shared" si="25"/>
        <v>0</v>
      </c>
      <c r="P70" s="139"/>
      <c r="Q70" s="144"/>
      <c r="R70" s="205" t="str">
        <f t="shared" si="8"/>
        <v>OK</v>
      </c>
      <c r="S70" s="250"/>
      <c r="T70" s="130"/>
      <c r="U70" s="131"/>
      <c r="V70" s="133">
        <f t="shared" si="24"/>
        <v>0</v>
      </c>
    </row>
    <row r="71" spans="1:23" s="16" customFormat="1" ht="13.8" hidden="1" outlineLevel="3" thickBot="1" x14ac:dyDescent="0.35">
      <c r="A71" s="22" t="s">
        <v>18</v>
      </c>
      <c r="B71" s="88" t="str">
        <f t="shared" si="26"/>
        <v>05.010</v>
      </c>
      <c r="C71" s="196" t="s">
        <v>20</v>
      </c>
      <c r="D71" s="196" t="s">
        <v>46</v>
      </c>
      <c r="E71" s="12"/>
      <c r="F71" s="12"/>
      <c r="G71" s="118"/>
      <c r="H71" s="181"/>
      <c r="I71" s="61"/>
      <c r="J71" s="175"/>
      <c r="K71" s="172"/>
      <c r="L71" s="168"/>
      <c r="M71" s="200"/>
      <c r="N71" s="165"/>
      <c r="O71" s="248">
        <f t="shared" si="25"/>
        <v>0</v>
      </c>
      <c r="P71" s="140"/>
      <c r="Q71" s="145"/>
      <c r="R71" s="205" t="str">
        <f t="shared" si="8"/>
        <v>OK</v>
      </c>
      <c r="S71" s="251"/>
      <c r="T71" s="135"/>
      <c r="U71" s="136"/>
      <c r="V71" s="134">
        <f t="shared" si="24"/>
        <v>0</v>
      </c>
    </row>
    <row r="72" spans="1:23" ht="13.8" hidden="1" outlineLevel="1" thickBot="1" x14ac:dyDescent="0.35">
      <c r="J72" s="3"/>
      <c r="K72" s="3"/>
      <c r="L72" s="3"/>
      <c r="M72" s="3"/>
      <c r="N72" s="3"/>
      <c r="O72" s="244"/>
      <c r="P72" s="3"/>
      <c r="R72" s="86"/>
      <c r="S72" s="3"/>
      <c r="V72" s="3"/>
      <c r="W72" s="3"/>
    </row>
    <row r="73" spans="1:23" ht="13.8" hidden="1" outlineLevel="1" thickBot="1" x14ac:dyDescent="0.35">
      <c r="A73" s="122" t="s">
        <v>47</v>
      </c>
      <c r="B73" s="123"/>
      <c r="C73" s="123"/>
      <c r="D73" s="128"/>
      <c r="E73" s="124"/>
      <c r="F73" s="124"/>
      <c r="G73" s="125"/>
      <c r="H73" s="177"/>
      <c r="I73" s="63"/>
      <c r="J73" s="11">
        <f t="shared" ref="J73:O73" si="27">SUM(J74:J83)</f>
        <v>0</v>
      </c>
      <c r="K73" s="10">
        <f t="shared" si="27"/>
        <v>0</v>
      </c>
      <c r="L73" s="10">
        <f t="shared" si="27"/>
        <v>0</v>
      </c>
      <c r="M73" s="10">
        <f t="shared" si="27"/>
        <v>0</v>
      </c>
      <c r="N73" s="10">
        <f t="shared" si="27"/>
        <v>0</v>
      </c>
      <c r="O73" s="10">
        <f t="shared" si="27"/>
        <v>0</v>
      </c>
      <c r="P73" s="28"/>
      <c r="Q73" s="141"/>
      <c r="S73" s="249"/>
      <c r="T73" s="63"/>
      <c r="U73" s="63"/>
      <c r="V73" s="63"/>
      <c r="W73" s="3"/>
    </row>
    <row r="74" spans="1:23" s="16" customFormat="1" ht="13.2" hidden="1" outlineLevel="3" x14ac:dyDescent="0.3">
      <c r="A74" s="62" t="s">
        <v>18</v>
      </c>
      <c r="B74" s="96" t="str">
        <f>CONCATENATE(MID(A73,2,3),"01")</f>
        <v>06.01</v>
      </c>
      <c r="C74" s="194" t="s">
        <v>20</v>
      </c>
      <c r="D74" s="194" t="s">
        <v>47</v>
      </c>
      <c r="E74" s="31"/>
      <c r="F74" s="31"/>
      <c r="G74" s="30"/>
      <c r="H74" s="182"/>
      <c r="I74" s="59"/>
      <c r="J74" s="173"/>
      <c r="K74" s="170"/>
      <c r="L74" s="166"/>
      <c r="M74" s="197"/>
      <c r="N74" s="163"/>
      <c r="O74" s="246">
        <f>+SUM(J74:N74)</f>
        <v>0</v>
      </c>
      <c r="P74" s="138"/>
      <c r="Q74" s="143"/>
      <c r="R74" s="205" t="str">
        <f t="shared" ref="R74" si="28">+IF(O74=V74,"OK","MAL")</f>
        <v>OK</v>
      </c>
      <c r="S74" s="250"/>
      <c r="T74" s="130"/>
      <c r="U74" s="131"/>
      <c r="V74" s="132">
        <f t="shared" ref="V74:V83" si="29">+T74*U74</f>
        <v>0</v>
      </c>
    </row>
    <row r="75" spans="1:23" s="16" customFormat="1" ht="13.2" hidden="1" outlineLevel="3" x14ac:dyDescent="0.3">
      <c r="A75" s="20" t="s">
        <v>18</v>
      </c>
      <c r="B75" s="87" t="str">
        <f>LEFT(B74,4)&amp;TEXT(RIGHT(B74,2)+1,"0")</f>
        <v>06.02</v>
      </c>
      <c r="C75" s="195" t="s">
        <v>20</v>
      </c>
      <c r="D75" s="195" t="s">
        <v>47</v>
      </c>
      <c r="E75" s="33"/>
      <c r="F75" s="33"/>
      <c r="G75" s="34"/>
      <c r="H75" s="180"/>
      <c r="I75" s="60"/>
      <c r="J75" s="174"/>
      <c r="K75" s="171"/>
      <c r="L75" s="167"/>
      <c r="M75" s="198"/>
      <c r="N75" s="164"/>
      <c r="O75" s="247">
        <f t="shared" ref="O75:O83" si="30">+SUM(J75:N75)</f>
        <v>0</v>
      </c>
      <c r="P75" s="139"/>
      <c r="Q75" s="143"/>
      <c r="R75" s="205" t="str">
        <f t="shared" si="8"/>
        <v>OK</v>
      </c>
      <c r="S75" s="250"/>
      <c r="T75" s="130"/>
      <c r="U75" s="131"/>
      <c r="V75" s="133">
        <f t="shared" si="29"/>
        <v>0</v>
      </c>
    </row>
    <row r="76" spans="1:23" s="16" customFormat="1" ht="13.2" hidden="1" outlineLevel="3" x14ac:dyDescent="0.3">
      <c r="A76" s="20" t="s">
        <v>18</v>
      </c>
      <c r="B76" s="87" t="str">
        <f t="shared" ref="B76:B83" si="31">LEFT(B75,4)&amp;TEXT(RIGHT(B75,2)+1,"0")</f>
        <v>06.03</v>
      </c>
      <c r="C76" s="195" t="s">
        <v>20</v>
      </c>
      <c r="D76" s="195" t="s">
        <v>47</v>
      </c>
      <c r="E76" s="33"/>
      <c r="F76" s="33"/>
      <c r="G76" s="34"/>
      <c r="H76" s="180"/>
      <c r="I76" s="60"/>
      <c r="J76" s="174"/>
      <c r="K76" s="171"/>
      <c r="L76" s="167"/>
      <c r="M76" s="198"/>
      <c r="N76" s="164"/>
      <c r="O76" s="247">
        <f t="shared" si="30"/>
        <v>0</v>
      </c>
      <c r="P76" s="139"/>
      <c r="Q76" s="143"/>
      <c r="R76" s="205" t="str">
        <f t="shared" si="8"/>
        <v>OK</v>
      </c>
      <c r="S76" s="250"/>
      <c r="T76" s="130"/>
      <c r="U76" s="131"/>
      <c r="V76" s="133">
        <f t="shared" si="29"/>
        <v>0</v>
      </c>
    </row>
    <row r="77" spans="1:23" s="16" customFormat="1" ht="13.2" hidden="1" outlineLevel="3" x14ac:dyDescent="0.3">
      <c r="A77" s="20" t="s">
        <v>18</v>
      </c>
      <c r="B77" s="87" t="str">
        <f t="shared" si="31"/>
        <v>06.04</v>
      </c>
      <c r="C77" s="195" t="s">
        <v>20</v>
      </c>
      <c r="D77" s="195" t="s">
        <v>47</v>
      </c>
      <c r="E77" s="33"/>
      <c r="F77" s="33"/>
      <c r="G77" s="34"/>
      <c r="H77" s="180"/>
      <c r="I77" s="60"/>
      <c r="J77" s="174"/>
      <c r="K77" s="171"/>
      <c r="L77" s="167"/>
      <c r="M77" s="199"/>
      <c r="N77" s="164"/>
      <c r="O77" s="247">
        <f t="shared" si="30"/>
        <v>0</v>
      </c>
      <c r="P77" s="139"/>
      <c r="Q77" s="143"/>
      <c r="R77" s="205" t="str">
        <f t="shared" si="8"/>
        <v>OK</v>
      </c>
      <c r="S77" s="250"/>
      <c r="T77" s="130"/>
      <c r="U77" s="131"/>
      <c r="V77" s="133">
        <f t="shared" si="29"/>
        <v>0</v>
      </c>
    </row>
    <row r="78" spans="1:23" s="16" customFormat="1" ht="13.2" hidden="1" outlineLevel="3" x14ac:dyDescent="0.3">
      <c r="A78" s="20" t="s">
        <v>18</v>
      </c>
      <c r="B78" s="87" t="str">
        <f t="shared" si="31"/>
        <v>06.05</v>
      </c>
      <c r="C78" s="195" t="s">
        <v>20</v>
      </c>
      <c r="D78" s="195" t="s">
        <v>47</v>
      </c>
      <c r="E78" s="33"/>
      <c r="F78" s="33"/>
      <c r="G78" s="34"/>
      <c r="H78" s="180"/>
      <c r="I78" s="60"/>
      <c r="J78" s="174"/>
      <c r="K78" s="171"/>
      <c r="L78" s="167"/>
      <c r="M78" s="198"/>
      <c r="N78" s="164"/>
      <c r="O78" s="247">
        <f t="shared" si="30"/>
        <v>0</v>
      </c>
      <c r="P78" s="139"/>
      <c r="Q78" s="143"/>
      <c r="R78" s="205" t="str">
        <f t="shared" si="8"/>
        <v>OK</v>
      </c>
      <c r="S78" s="250"/>
      <c r="T78" s="130"/>
      <c r="U78" s="131"/>
      <c r="V78" s="133">
        <f t="shared" si="29"/>
        <v>0</v>
      </c>
    </row>
    <row r="79" spans="1:23" s="16" customFormat="1" ht="13.2" hidden="1" outlineLevel="3" x14ac:dyDescent="0.3">
      <c r="A79" s="20" t="s">
        <v>18</v>
      </c>
      <c r="B79" s="87" t="str">
        <f t="shared" si="31"/>
        <v>06.06</v>
      </c>
      <c r="C79" s="195" t="s">
        <v>20</v>
      </c>
      <c r="D79" s="195" t="s">
        <v>47</v>
      </c>
      <c r="E79" s="33"/>
      <c r="F79" s="33"/>
      <c r="G79" s="34"/>
      <c r="H79" s="180"/>
      <c r="I79" s="60"/>
      <c r="J79" s="174"/>
      <c r="K79" s="171"/>
      <c r="L79" s="167"/>
      <c r="M79" s="198"/>
      <c r="N79" s="164"/>
      <c r="O79" s="247">
        <f t="shared" si="30"/>
        <v>0</v>
      </c>
      <c r="P79" s="139"/>
      <c r="Q79" s="143"/>
      <c r="R79" s="205" t="str">
        <f t="shared" si="8"/>
        <v>OK</v>
      </c>
      <c r="S79" s="250"/>
      <c r="T79" s="130"/>
      <c r="U79" s="131"/>
      <c r="V79" s="133">
        <f t="shared" si="29"/>
        <v>0</v>
      </c>
    </row>
    <row r="80" spans="1:23" s="16" customFormat="1" ht="13.2" hidden="1" outlineLevel="3" x14ac:dyDescent="0.3">
      <c r="A80" s="20" t="s">
        <v>18</v>
      </c>
      <c r="B80" s="87" t="str">
        <f t="shared" si="31"/>
        <v>06.07</v>
      </c>
      <c r="C80" s="195" t="s">
        <v>20</v>
      </c>
      <c r="D80" s="195" t="s">
        <v>47</v>
      </c>
      <c r="E80" s="33"/>
      <c r="F80" s="33"/>
      <c r="G80" s="34"/>
      <c r="H80" s="180"/>
      <c r="I80" s="60"/>
      <c r="J80" s="174"/>
      <c r="K80" s="171"/>
      <c r="L80" s="167"/>
      <c r="M80" s="198"/>
      <c r="N80" s="164"/>
      <c r="O80" s="247">
        <f t="shared" si="30"/>
        <v>0</v>
      </c>
      <c r="P80" s="139"/>
      <c r="Q80" s="143"/>
      <c r="R80" s="205" t="str">
        <f t="shared" si="8"/>
        <v>OK</v>
      </c>
      <c r="S80" s="250"/>
      <c r="T80" s="130"/>
      <c r="U80" s="131"/>
      <c r="V80" s="133">
        <f t="shared" si="29"/>
        <v>0</v>
      </c>
    </row>
    <row r="81" spans="1:23" s="16" customFormat="1" ht="13.2" hidden="1" outlineLevel="3" x14ac:dyDescent="0.3">
      <c r="A81" s="20" t="s">
        <v>18</v>
      </c>
      <c r="B81" s="87" t="str">
        <f t="shared" si="31"/>
        <v>06.08</v>
      </c>
      <c r="C81" s="195" t="s">
        <v>20</v>
      </c>
      <c r="D81" s="195" t="s">
        <v>47</v>
      </c>
      <c r="E81" s="33"/>
      <c r="F81" s="33"/>
      <c r="G81" s="34"/>
      <c r="H81" s="180"/>
      <c r="I81" s="60"/>
      <c r="J81" s="174"/>
      <c r="K81" s="171"/>
      <c r="L81" s="167"/>
      <c r="M81" s="198"/>
      <c r="N81" s="164"/>
      <c r="O81" s="247">
        <f t="shared" si="30"/>
        <v>0</v>
      </c>
      <c r="P81" s="139"/>
      <c r="Q81" s="143"/>
      <c r="R81" s="205" t="str">
        <f t="shared" si="8"/>
        <v>OK</v>
      </c>
      <c r="S81" s="250"/>
      <c r="T81" s="130"/>
      <c r="U81" s="131"/>
      <c r="V81" s="133">
        <f t="shared" si="29"/>
        <v>0</v>
      </c>
    </row>
    <row r="82" spans="1:23" s="16" customFormat="1" ht="13.2" hidden="1" outlineLevel="3" x14ac:dyDescent="0.3">
      <c r="A82" s="20" t="s">
        <v>18</v>
      </c>
      <c r="B82" s="87" t="str">
        <f t="shared" si="31"/>
        <v>06.09</v>
      </c>
      <c r="C82" s="195" t="s">
        <v>20</v>
      </c>
      <c r="D82" s="195" t="s">
        <v>47</v>
      </c>
      <c r="E82" s="33"/>
      <c r="F82" s="33"/>
      <c r="G82" s="34"/>
      <c r="H82" s="180"/>
      <c r="I82" s="60"/>
      <c r="J82" s="174"/>
      <c r="K82" s="171"/>
      <c r="L82" s="167"/>
      <c r="M82" s="198"/>
      <c r="N82" s="164"/>
      <c r="O82" s="247">
        <f t="shared" si="30"/>
        <v>0</v>
      </c>
      <c r="P82" s="139"/>
      <c r="Q82" s="144"/>
      <c r="R82" s="205" t="str">
        <f t="shared" si="8"/>
        <v>OK</v>
      </c>
      <c r="S82" s="250"/>
      <c r="T82" s="130"/>
      <c r="U82" s="131"/>
      <c r="V82" s="133">
        <f t="shared" si="29"/>
        <v>0</v>
      </c>
    </row>
    <row r="83" spans="1:23" s="16" customFormat="1" ht="13.8" hidden="1" outlineLevel="3" thickBot="1" x14ac:dyDescent="0.35">
      <c r="A83" s="22" t="s">
        <v>18</v>
      </c>
      <c r="B83" s="88" t="str">
        <f t="shared" si="31"/>
        <v>06.010</v>
      </c>
      <c r="C83" s="196" t="s">
        <v>20</v>
      </c>
      <c r="D83" s="196" t="s">
        <v>47</v>
      </c>
      <c r="E83" s="12"/>
      <c r="F83" s="12"/>
      <c r="G83" s="118"/>
      <c r="H83" s="181"/>
      <c r="I83" s="61"/>
      <c r="J83" s="175"/>
      <c r="K83" s="172"/>
      <c r="L83" s="168"/>
      <c r="M83" s="200"/>
      <c r="N83" s="165"/>
      <c r="O83" s="248">
        <f t="shared" si="30"/>
        <v>0</v>
      </c>
      <c r="P83" s="140"/>
      <c r="Q83" s="145"/>
      <c r="R83" s="205" t="str">
        <f t="shared" si="8"/>
        <v>OK</v>
      </c>
      <c r="S83" s="251"/>
      <c r="T83" s="135"/>
      <c r="U83" s="136"/>
      <c r="V83" s="134">
        <f t="shared" si="29"/>
        <v>0</v>
      </c>
    </row>
    <row r="84" spans="1:23" ht="13.8" hidden="1" outlineLevel="1" thickBot="1" x14ac:dyDescent="0.35">
      <c r="J84" s="3"/>
      <c r="K84" s="3"/>
      <c r="L84" s="3"/>
      <c r="M84" s="3"/>
      <c r="N84" s="3"/>
      <c r="O84" s="244"/>
      <c r="P84" s="3"/>
      <c r="R84" s="86"/>
      <c r="S84" s="3"/>
      <c r="V84" s="3"/>
      <c r="W84" s="3"/>
    </row>
    <row r="85" spans="1:23" ht="13.8" hidden="1" outlineLevel="1" thickBot="1" x14ac:dyDescent="0.35">
      <c r="A85" s="122" t="s">
        <v>48</v>
      </c>
      <c r="B85" s="123"/>
      <c r="C85" s="123"/>
      <c r="D85" s="128"/>
      <c r="E85" s="124"/>
      <c r="F85" s="124"/>
      <c r="G85" s="125"/>
      <c r="H85" s="177"/>
      <c r="I85" s="63"/>
      <c r="J85" s="11">
        <f t="shared" ref="J85:O85" si="32">SUM(J86:J95)</f>
        <v>0</v>
      </c>
      <c r="K85" s="10">
        <f t="shared" si="32"/>
        <v>0</v>
      </c>
      <c r="L85" s="10">
        <f t="shared" si="32"/>
        <v>0</v>
      </c>
      <c r="M85" s="10">
        <f t="shared" si="32"/>
        <v>0</v>
      </c>
      <c r="N85" s="10">
        <f t="shared" si="32"/>
        <v>0</v>
      </c>
      <c r="O85" s="10">
        <f t="shared" si="32"/>
        <v>0</v>
      </c>
      <c r="P85" s="28"/>
      <c r="Q85" s="141"/>
      <c r="S85" s="249"/>
      <c r="T85" s="63"/>
      <c r="U85" s="63"/>
      <c r="V85" s="63"/>
      <c r="W85" s="3"/>
    </row>
    <row r="86" spans="1:23" s="16" customFormat="1" ht="13.2" hidden="1" outlineLevel="3" x14ac:dyDescent="0.3">
      <c r="A86" s="62" t="s">
        <v>18</v>
      </c>
      <c r="B86" s="96" t="str">
        <f>CONCATENATE(MID(A85,2,3),"01")</f>
        <v>07.01</v>
      </c>
      <c r="C86" s="194" t="s">
        <v>20</v>
      </c>
      <c r="D86" s="194" t="s">
        <v>48</v>
      </c>
      <c r="E86" s="31"/>
      <c r="F86" s="31"/>
      <c r="G86" s="30"/>
      <c r="H86" s="182"/>
      <c r="I86" s="59"/>
      <c r="J86" s="173"/>
      <c r="K86" s="170"/>
      <c r="L86" s="166"/>
      <c r="M86" s="197"/>
      <c r="N86" s="163"/>
      <c r="O86" s="246">
        <f>+SUM(J86:N86)</f>
        <v>0</v>
      </c>
      <c r="P86" s="138"/>
      <c r="Q86" s="143"/>
      <c r="R86" s="205" t="str">
        <f t="shared" ref="R86" si="33">+IF(O86=V86,"OK","MAL")</f>
        <v>OK</v>
      </c>
      <c r="S86" s="250"/>
      <c r="T86" s="130"/>
      <c r="U86" s="131"/>
      <c r="V86" s="132">
        <f t="shared" ref="V86:V95" si="34">+T86*U86</f>
        <v>0</v>
      </c>
    </row>
    <row r="87" spans="1:23" s="16" customFormat="1" ht="13.2" hidden="1" outlineLevel="3" x14ac:dyDescent="0.3">
      <c r="A87" s="20" t="s">
        <v>18</v>
      </c>
      <c r="B87" s="87" t="str">
        <f>LEFT(B86,4)&amp;TEXT(RIGHT(B86,2)+1,"0")</f>
        <v>07.02</v>
      </c>
      <c r="C87" s="195" t="s">
        <v>20</v>
      </c>
      <c r="D87" s="195" t="s">
        <v>48</v>
      </c>
      <c r="E87" s="33"/>
      <c r="F87" s="33"/>
      <c r="G87" s="34"/>
      <c r="H87" s="180"/>
      <c r="I87" s="60"/>
      <c r="J87" s="174"/>
      <c r="K87" s="171"/>
      <c r="L87" s="167"/>
      <c r="M87" s="198"/>
      <c r="N87" s="164"/>
      <c r="O87" s="247">
        <f t="shared" ref="O87:O95" si="35">+SUM(J87:N87)</f>
        <v>0</v>
      </c>
      <c r="P87" s="139"/>
      <c r="Q87" s="143"/>
      <c r="R87" s="205" t="str">
        <f t="shared" si="8"/>
        <v>OK</v>
      </c>
      <c r="S87" s="250"/>
      <c r="T87" s="130"/>
      <c r="U87" s="131"/>
      <c r="V87" s="133">
        <f t="shared" si="34"/>
        <v>0</v>
      </c>
    </row>
    <row r="88" spans="1:23" s="16" customFormat="1" ht="13.2" hidden="1" outlineLevel="3" x14ac:dyDescent="0.3">
      <c r="A88" s="20" t="s">
        <v>18</v>
      </c>
      <c r="B88" s="87" t="str">
        <f t="shared" ref="B88:B95" si="36">LEFT(B87,4)&amp;TEXT(RIGHT(B87,2)+1,"0")</f>
        <v>07.03</v>
      </c>
      <c r="C88" s="195" t="s">
        <v>20</v>
      </c>
      <c r="D88" s="195" t="s">
        <v>48</v>
      </c>
      <c r="E88" s="33"/>
      <c r="F88" s="33"/>
      <c r="G88" s="34"/>
      <c r="H88" s="180"/>
      <c r="I88" s="60"/>
      <c r="J88" s="174"/>
      <c r="K88" s="171"/>
      <c r="L88" s="167"/>
      <c r="M88" s="198"/>
      <c r="N88" s="164"/>
      <c r="O88" s="247">
        <f t="shared" si="35"/>
        <v>0</v>
      </c>
      <c r="P88" s="139"/>
      <c r="Q88" s="143"/>
      <c r="R88" s="205" t="str">
        <f t="shared" si="8"/>
        <v>OK</v>
      </c>
      <c r="S88" s="250"/>
      <c r="T88" s="130"/>
      <c r="U88" s="131"/>
      <c r="V88" s="133">
        <f t="shared" si="34"/>
        <v>0</v>
      </c>
    </row>
    <row r="89" spans="1:23" s="16" customFormat="1" ht="13.2" hidden="1" outlineLevel="3" x14ac:dyDescent="0.3">
      <c r="A89" s="20" t="s">
        <v>18</v>
      </c>
      <c r="B89" s="87" t="str">
        <f t="shared" si="36"/>
        <v>07.04</v>
      </c>
      <c r="C89" s="195" t="s">
        <v>20</v>
      </c>
      <c r="D89" s="195" t="s">
        <v>48</v>
      </c>
      <c r="E89" s="33"/>
      <c r="F89" s="33"/>
      <c r="G89" s="34"/>
      <c r="H89" s="180"/>
      <c r="I89" s="60"/>
      <c r="J89" s="174"/>
      <c r="K89" s="171"/>
      <c r="L89" s="167"/>
      <c r="M89" s="199"/>
      <c r="N89" s="164"/>
      <c r="O89" s="247">
        <f t="shared" si="35"/>
        <v>0</v>
      </c>
      <c r="P89" s="139"/>
      <c r="Q89" s="143"/>
      <c r="R89" s="205" t="str">
        <f t="shared" si="8"/>
        <v>OK</v>
      </c>
      <c r="S89" s="250"/>
      <c r="T89" s="130"/>
      <c r="U89" s="131"/>
      <c r="V89" s="133">
        <f t="shared" si="34"/>
        <v>0</v>
      </c>
    </row>
    <row r="90" spans="1:23" s="16" customFormat="1" ht="13.2" hidden="1" outlineLevel="3" x14ac:dyDescent="0.3">
      <c r="A90" s="20" t="s">
        <v>18</v>
      </c>
      <c r="B90" s="87" t="str">
        <f t="shared" si="36"/>
        <v>07.05</v>
      </c>
      <c r="C90" s="195" t="s">
        <v>20</v>
      </c>
      <c r="D90" s="195" t="s">
        <v>48</v>
      </c>
      <c r="E90" s="33"/>
      <c r="F90" s="33"/>
      <c r="G90" s="34"/>
      <c r="H90" s="180"/>
      <c r="I90" s="60"/>
      <c r="J90" s="174"/>
      <c r="K90" s="171"/>
      <c r="L90" s="167"/>
      <c r="M90" s="198"/>
      <c r="N90" s="164"/>
      <c r="O90" s="247">
        <f t="shared" si="35"/>
        <v>0</v>
      </c>
      <c r="P90" s="139"/>
      <c r="Q90" s="143"/>
      <c r="R90" s="205" t="str">
        <f t="shared" ref="R90:R153" si="37">+IF(O90=V90,"OK","MAL")</f>
        <v>OK</v>
      </c>
      <c r="S90" s="250"/>
      <c r="T90" s="130"/>
      <c r="U90" s="131"/>
      <c r="V90" s="133">
        <f t="shared" si="34"/>
        <v>0</v>
      </c>
    </row>
    <row r="91" spans="1:23" s="16" customFormat="1" ht="13.2" hidden="1" outlineLevel="3" x14ac:dyDescent="0.3">
      <c r="A91" s="20" t="s">
        <v>18</v>
      </c>
      <c r="B91" s="87" t="str">
        <f t="shared" si="36"/>
        <v>07.06</v>
      </c>
      <c r="C91" s="195" t="s">
        <v>20</v>
      </c>
      <c r="D91" s="195" t="s">
        <v>48</v>
      </c>
      <c r="E91" s="33"/>
      <c r="F91" s="33"/>
      <c r="G91" s="34"/>
      <c r="H91" s="180"/>
      <c r="I91" s="60"/>
      <c r="J91" s="174"/>
      <c r="K91" s="171"/>
      <c r="L91" s="167"/>
      <c r="M91" s="198"/>
      <c r="N91" s="164"/>
      <c r="O91" s="247">
        <f t="shared" si="35"/>
        <v>0</v>
      </c>
      <c r="P91" s="139"/>
      <c r="Q91" s="143"/>
      <c r="R91" s="205" t="str">
        <f t="shared" si="37"/>
        <v>OK</v>
      </c>
      <c r="S91" s="250"/>
      <c r="T91" s="130"/>
      <c r="U91" s="131"/>
      <c r="V91" s="133">
        <f t="shared" si="34"/>
        <v>0</v>
      </c>
    </row>
    <row r="92" spans="1:23" s="16" customFormat="1" ht="13.2" hidden="1" outlineLevel="3" x14ac:dyDescent="0.3">
      <c r="A92" s="20" t="s">
        <v>18</v>
      </c>
      <c r="B92" s="87" t="str">
        <f t="shared" si="36"/>
        <v>07.07</v>
      </c>
      <c r="C92" s="195" t="s">
        <v>20</v>
      </c>
      <c r="D92" s="195" t="s">
        <v>48</v>
      </c>
      <c r="E92" s="33"/>
      <c r="F92" s="33"/>
      <c r="G92" s="34"/>
      <c r="H92" s="180"/>
      <c r="I92" s="60"/>
      <c r="J92" s="174"/>
      <c r="K92" s="171"/>
      <c r="L92" s="167"/>
      <c r="M92" s="198"/>
      <c r="N92" s="164"/>
      <c r="O92" s="247">
        <f t="shared" si="35"/>
        <v>0</v>
      </c>
      <c r="P92" s="139"/>
      <c r="Q92" s="143"/>
      <c r="R92" s="205" t="str">
        <f t="shared" si="37"/>
        <v>OK</v>
      </c>
      <c r="S92" s="250"/>
      <c r="T92" s="130"/>
      <c r="U92" s="131"/>
      <c r="V92" s="133">
        <f t="shared" si="34"/>
        <v>0</v>
      </c>
    </row>
    <row r="93" spans="1:23" s="16" customFormat="1" ht="13.2" hidden="1" outlineLevel="3" x14ac:dyDescent="0.3">
      <c r="A93" s="20" t="s">
        <v>18</v>
      </c>
      <c r="B93" s="87" t="str">
        <f t="shared" si="36"/>
        <v>07.08</v>
      </c>
      <c r="C93" s="195" t="s">
        <v>20</v>
      </c>
      <c r="D93" s="195" t="s">
        <v>48</v>
      </c>
      <c r="E93" s="33"/>
      <c r="F93" s="33"/>
      <c r="G93" s="34"/>
      <c r="H93" s="180"/>
      <c r="I93" s="60"/>
      <c r="J93" s="174"/>
      <c r="K93" s="171"/>
      <c r="L93" s="167"/>
      <c r="M93" s="198"/>
      <c r="N93" s="164"/>
      <c r="O93" s="247">
        <f t="shared" si="35"/>
        <v>0</v>
      </c>
      <c r="P93" s="139"/>
      <c r="Q93" s="143"/>
      <c r="R93" s="205" t="str">
        <f t="shared" si="37"/>
        <v>OK</v>
      </c>
      <c r="S93" s="250"/>
      <c r="T93" s="130"/>
      <c r="U93" s="131"/>
      <c r="V93" s="133">
        <f t="shared" si="34"/>
        <v>0</v>
      </c>
    </row>
    <row r="94" spans="1:23" s="16" customFormat="1" ht="13.2" hidden="1" outlineLevel="3" x14ac:dyDescent="0.3">
      <c r="A94" s="20" t="s">
        <v>18</v>
      </c>
      <c r="B94" s="87" t="str">
        <f t="shared" si="36"/>
        <v>07.09</v>
      </c>
      <c r="C94" s="195" t="s">
        <v>20</v>
      </c>
      <c r="D94" s="195" t="s">
        <v>48</v>
      </c>
      <c r="E94" s="33"/>
      <c r="F94" s="33"/>
      <c r="G94" s="34"/>
      <c r="H94" s="180"/>
      <c r="I94" s="60"/>
      <c r="J94" s="174"/>
      <c r="K94" s="171"/>
      <c r="L94" s="167"/>
      <c r="M94" s="198"/>
      <c r="N94" s="164"/>
      <c r="O94" s="247">
        <f t="shared" si="35"/>
        <v>0</v>
      </c>
      <c r="P94" s="139"/>
      <c r="Q94" s="144"/>
      <c r="R94" s="205" t="str">
        <f t="shared" si="37"/>
        <v>OK</v>
      </c>
      <c r="S94" s="250"/>
      <c r="T94" s="130"/>
      <c r="U94" s="131"/>
      <c r="V94" s="133">
        <f t="shared" si="34"/>
        <v>0</v>
      </c>
    </row>
    <row r="95" spans="1:23" s="16" customFormat="1" ht="13.8" hidden="1" outlineLevel="3" thickBot="1" x14ac:dyDescent="0.35">
      <c r="A95" s="22" t="s">
        <v>18</v>
      </c>
      <c r="B95" s="88" t="str">
        <f t="shared" si="36"/>
        <v>07.010</v>
      </c>
      <c r="C95" s="196" t="s">
        <v>20</v>
      </c>
      <c r="D95" s="196" t="s">
        <v>48</v>
      </c>
      <c r="E95" s="12"/>
      <c r="F95" s="12"/>
      <c r="G95" s="118"/>
      <c r="H95" s="181"/>
      <c r="I95" s="61"/>
      <c r="J95" s="175"/>
      <c r="K95" s="172"/>
      <c r="L95" s="168"/>
      <c r="M95" s="200"/>
      <c r="N95" s="165"/>
      <c r="O95" s="248">
        <f t="shared" si="35"/>
        <v>0</v>
      </c>
      <c r="P95" s="140"/>
      <c r="Q95" s="145"/>
      <c r="R95" s="205" t="str">
        <f t="shared" si="37"/>
        <v>OK</v>
      </c>
      <c r="S95" s="251"/>
      <c r="T95" s="135"/>
      <c r="U95" s="136"/>
      <c r="V95" s="134">
        <f t="shared" si="34"/>
        <v>0</v>
      </c>
    </row>
    <row r="96" spans="1:23" ht="13.8" hidden="1" outlineLevel="1" thickBot="1" x14ac:dyDescent="0.35">
      <c r="J96" s="3"/>
      <c r="K96" s="3"/>
      <c r="L96" s="3"/>
      <c r="M96" s="3"/>
      <c r="N96" s="3"/>
      <c r="O96" s="244"/>
      <c r="P96" s="3"/>
      <c r="R96" s="86"/>
      <c r="S96" s="3"/>
      <c r="V96" s="3"/>
      <c r="W96" s="3"/>
    </row>
    <row r="97" spans="1:23" ht="13.8" hidden="1" outlineLevel="1" thickBot="1" x14ac:dyDescent="0.35">
      <c r="A97" s="122" t="s">
        <v>23</v>
      </c>
      <c r="B97" s="123"/>
      <c r="C97" s="123"/>
      <c r="D97" s="128"/>
      <c r="E97" s="124"/>
      <c r="F97" s="124"/>
      <c r="G97" s="125"/>
      <c r="H97" s="177"/>
      <c r="I97" s="63"/>
      <c r="J97" s="11">
        <f t="shared" ref="J97:O97" si="38">SUM(J98:J107)</f>
        <v>0</v>
      </c>
      <c r="K97" s="10">
        <f t="shared" si="38"/>
        <v>0</v>
      </c>
      <c r="L97" s="10">
        <f t="shared" si="38"/>
        <v>0</v>
      </c>
      <c r="M97" s="10">
        <f t="shared" si="38"/>
        <v>0</v>
      </c>
      <c r="N97" s="10">
        <f t="shared" si="38"/>
        <v>0</v>
      </c>
      <c r="O97" s="10">
        <f t="shared" si="38"/>
        <v>0</v>
      </c>
      <c r="P97" s="28"/>
      <c r="Q97" s="141"/>
      <c r="S97" s="249"/>
      <c r="T97" s="63"/>
      <c r="U97" s="63"/>
      <c r="V97" s="63"/>
      <c r="W97" s="3"/>
    </row>
    <row r="98" spans="1:23" s="16" customFormat="1" ht="13.2" hidden="1" outlineLevel="3" x14ac:dyDescent="0.3">
      <c r="A98" s="62" t="s">
        <v>18</v>
      </c>
      <c r="B98" s="96" t="str">
        <f>CONCATENATE(MID(A97,2,3),"01")</f>
        <v>08.01</v>
      </c>
      <c r="C98" s="194" t="s">
        <v>20</v>
      </c>
      <c r="D98" s="194" t="s">
        <v>23</v>
      </c>
      <c r="E98" s="31"/>
      <c r="F98" s="31"/>
      <c r="G98" s="30"/>
      <c r="H98" s="182"/>
      <c r="I98" s="59"/>
      <c r="J98" s="173"/>
      <c r="K98" s="170"/>
      <c r="L98" s="166"/>
      <c r="M98" s="197"/>
      <c r="N98" s="163"/>
      <c r="O98" s="246">
        <f>+SUM(J98:N98)</f>
        <v>0</v>
      </c>
      <c r="P98" s="138"/>
      <c r="Q98" s="142"/>
      <c r="R98" s="205" t="str">
        <f t="shared" ref="R98" si="39">+IF(O98=V98,"OK","MAL")</f>
        <v>OK</v>
      </c>
      <c r="S98" s="250"/>
      <c r="T98" s="130"/>
      <c r="U98" s="131"/>
      <c r="V98" s="132">
        <f t="shared" ref="V98:V107" si="40">+T98*U98</f>
        <v>0</v>
      </c>
    </row>
    <row r="99" spans="1:23" s="16" customFormat="1" ht="13.2" hidden="1" outlineLevel="3" x14ac:dyDescent="0.3">
      <c r="A99" s="20" t="s">
        <v>18</v>
      </c>
      <c r="B99" s="87" t="str">
        <f>LEFT(B98,4)&amp;TEXT(RIGHT(B98,2)+1,"0")</f>
        <v>08.02</v>
      </c>
      <c r="C99" s="195" t="s">
        <v>20</v>
      </c>
      <c r="D99" s="195" t="s">
        <v>23</v>
      </c>
      <c r="E99" s="33"/>
      <c r="F99" s="33"/>
      <c r="G99" s="34"/>
      <c r="H99" s="180"/>
      <c r="I99" s="60"/>
      <c r="J99" s="174"/>
      <c r="K99" s="171"/>
      <c r="L99" s="167"/>
      <c r="M99" s="198"/>
      <c r="N99" s="164"/>
      <c r="O99" s="247">
        <f t="shared" ref="O99:O107" si="41">+SUM(J99:N99)</f>
        <v>0</v>
      </c>
      <c r="P99" s="139"/>
      <c r="Q99" s="143"/>
      <c r="R99" s="205" t="str">
        <f t="shared" si="37"/>
        <v>OK</v>
      </c>
      <c r="S99" s="250"/>
      <c r="T99" s="130"/>
      <c r="U99" s="131"/>
      <c r="V99" s="133">
        <f t="shared" si="40"/>
        <v>0</v>
      </c>
    </row>
    <row r="100" spans="1:23" s="16" customFormat="1" ht="13.2" hidden="1" outlineLevel="3" x14ac:dyDescent="0.3">
      <c r="A100" s="20" t="s">
        <v>18</v>
      </c>
      <c r="B100" s="87" t="str">
        <f t="shared" ref="B100:B107" si="42">LEFT(B99,4)&amp;TEXT(RIGHT(B99,2)+1,"0")</f>
        <v>08.03</v>
      </c>
      <c r="C100" s="195" t="s">
        <v>20</v>
      </c>
      <c r="D100" s="195" t="s">
        <v>23</v>
      </c>
      <c r="E100" s="33"/>
      <c r="F100" s="33"/>
      <c r="G100" s="34"/>
      <c r="H100" s="180"/>
      <c r="I100" s="60"/>
      <c r="J100" s="174"/>
      <c r="K100" s="171"/>
      <c r="L100" s="167"/>
      <c r="M100" s="198"/>
      <c r="N100" s="164"/>
      <c r="O100" s="247">
        <f t="shared" si="41"/>
        <v>0</v>
      </c>
      <c r="P100" s="139"/>
      <c r="Q100" s="143"/>
      <c r="R100" s="205" t="str">
        <f t="shared" si="37"/>
        <v>OK</v>
      </c>
      <c r="S100" s="250"/>
      <c r="T100" s="130"/>
      <c r="U100" s="131"/>
      <c r="V100" s="133">
        <f t="shared" si="40"/>
        <v>0</v>
      </c>
    </row>
    <row r="101" spans="1:23" s="16" customFormat="1" ht="13.2" hidden="1" outlineLevel="3" x14ac:dyDescent="0.3">
      <c r="A101" s="20" t="s">
        <v>18</v>
      </c>
      <c r="B101" s="87" t="str">
        <f t="shared" si="42"/>
        <v>08.04</v>
      </c>
      <c r="C101" s="195" t="s">
        <v>20</v>
      </c>
      <c r="D101" s="195" t="s">
        <v>23</v>
      </c>
      <c r="E101" s="33"/>
      <c r="F101" s="33"/>
      <c r="G101" s="34"/>
      <c r="H101" s="180"/>
      <c r="I101" s="60"/>
      <c r="J101" s="174"/>
      <c r="K101" s="171"/>
      <c r="L101" s="167"/>
      <c r="M101" s="199"/>
      <c r="N101" s="164"/>
      <c r="O101" s="247">
        <f t="shared" si="41"/>
        <v>0</v>
      </c>
      <c r="P101" s="139"/>
      <c r="Q101" s="143"/>
      <c r="R101" s="205" t="str">
        <f t="shared" si="37"/>
        <v>OK</v>
      </c>
      <c r="S101" s="250"/>
      <c r="T101" s="130"/>
      <c r="U101" s="131"/>
      <c r="V101" s="133">
        <f t="shared" si="40"/>
        <v>0</v>
      </c>
    </row>
    <row r="102" spans="1:23" s="16" customFormat="1" ht="13.2" hidden="1" outlineLevel="3" x14ac:dyDescent="0.3">
      <c r="A102" s="20" t="s">
        <v>18</v>
      </c>
      <c r="B102" s="87" t="str">
        <f t="shared" si="42"/>
        <v>08.05</v>
      </c>
      <c r="C102" s="195" t="s">
        <v>20</v>
      </c>
      <c r="D102" s="195" t="s">
        <v>23</v>
      </c>
      <c r="E102" s="33"/>
      <c r="F102" s="33"/>
      <c r="G102" s="34"/>
      <c r="H102" s="180"/>
      <c r="I102" s="60"/>
      <c r="J102" s="174"/>
      <c r="K102" s="171"/>
      <c r="L102" s="167"/>
      <c r="M102" s="198"/>
      <c r="N102" s="164"/>
      <c r="O102" s="247">
        <f t="shared" si="41"/>
        <v>0</v>
      </c>
      <c r="P102" s="139"/>
      <c r="Q102" s="143"/>
      <c r="R102" s="205" t="str">
        <f t="shared" si="37"/>
        <v>OK</v>
      </c>
      <c r="S102" s="250"/>
      <c r="T102" s="130"/>
      <c r="U102" s="131"/>
      <c r="V102" s="133">
        <f t="shared" si="40"/>
        <v>0</v>
      </c>
    </row>
    <row r="103" spans="1:23" s="16" customFormat="1" ht="13.2" hidden="1" outlineLevel="3" x14ac:dyDescent="0.3">
      <c r="A103" s="20" t="s">
        <v>18</v>
      </c>
      <c r="B103" s="87" t="str">
        <f t="shared" si="42"/>
        <v>08.06</v>
      </c>
      <c r="C103" s="195" t="s">
        <v>20</v>
      </c>
      <c r="D103" s="195" t="s">
        <v>23</v>
      </c>
      <c r="E103" s="33"/>
      <c r="F103" s="33"/>
      <c r="G103" s="34"/>
      <c r="H103" s="180"/>
      <c r="I103" s="60"/>
      <c r="J103" s="174"/>
      <c r="K103" s="171"/>
      <c r="L103" s="167"/>
      <c r="M103" s="198"/>
      <c r="N103" s="164"/>
      <c r="O103" s="247">
        <f t="shared" si="41"/>
        <v>0</v>
      </c>
      <c r="P103" s="139"/>
      <c r="Q103" s="143"/>
      <c r="R103" s="205" t="str">
        <f t="shared" si="37"/>
        <v>OK</v>
      </c>
      <c r="S103" s="250"/>
      <c r="T103" s="130"/>
      <c r="U103" s="131"/>
      <c r="V103" s="133">
        <f t="shared" si="40"/>
        <v>0</v>
      </c>
    </row>
    <row r="104" spans="1:23" s="16" customFormat="1" ht="13.2" hidden="1" outlineLevel="3" x14ac:dyDescent="0.3">
      <c r="A104" s="20" t="s">
        <v>18</v>
      </c>
      <c r="B104" s="87" t="str">
        <f t="shared" si="42"/>
        <v>08.07</v>
      </c>
      <c r="C104" s="195" t="s">
        <v>20</v>
      </c>
      <c r="D104" s="195" t="s">
        <v>23</v>
      </c>
      <c r="E104" s="33"/>
      <c r="F104" s="33"/>
      <c r="G104" s="34"/>
      <c r="H104" s="180"/>
      <c r="I104" s="60"/>
      <c r="J104" s="174"/>
      <c r="K104" s="171"/>
      <c r="L104" s="167"/>
      <c r="M104" s="198"/>
      <c r="N104" s="164"/>
      <c r="O104" s="247">
        <f t="shared" si="41"/>
        <v>0</v>
      </c>
      <c r="P104" s="139"/>
      <c r="Q104" s="143"/>
      <c r="R104" s="205" t="str">
        <f t="shared" si="37"/>
        <v>OK</v>
      </c>
      <c r="S104" s="250"/>
      <c r="T104" s="130"/>
      <c r="U104" s="131"/>
      <c r="V104" s="133">
        <f t="shared" si="40"/>
        <v>0</v>
      </c>
    </row>
    <row r="105" spans="1:23" s="16" customFormat="1" ht="13.2" hidden="1" outlineLevel="3" x14ac:dyDescent="0.3">
      <c r="A105" s="20" t="s">
        <v>18</v>
      </c>
      <c r="B105" s="87" t="str">
        <f t="shared" si="42"/>
        <v>08.08</v>
      </c>
      <c r="C105" s="195" t="s">
        <v>20</v>
      </c>
      <c r="D105" s="195" t="s">
        <v>23</v>
      </c>
      <c r="E105" s="33"/>
      <c r="F105" s="33"/>
      <c r="G105" s="34"/>
      <c r="H105" s="180"/>
      <c r="I105" s="60"/>
      <c r="J105" s="174"/>
      <c r="K105" s="171"/>
      <c r="L105" s="167"/>
      <c r="M105" s="198"/>
      <c r="N105" s="164"/>
      <c r="O105" s="247">
        <f t="shared" si="41"/>
        <v>0</v>
      </c>
      <c r="P105" s="139"/>
      <c r="Q105" s="143"/>
      <c r="R105" s="205" t="str">
        <f t="shared" si="37"/>
        <v>OK</v>
      </c>
      <c r="S105" s="250"/>
      <c r="T105" s="130"/>
      <c r="U105" s="131"/>
      <c r="V105" s="133">
        <f t="shared" si="40"/>
        <v>0</v>
      </c>
    </row>
    <row r="106" spans="1:23" s="16" customFormat="1" ht="13.2" hidden="1" outlineLevel="3" x14ac:dyDescent="0.3">
      <c r="A106" s="20" t="s">
        <v>18</v>
      </c>
      <c r="B106" s="87" t="str">
        <f t="shared" si="42"/>
        <v>08.09</v>
      </c>
      <c r="C106" s="195" t="s">
        <v>20</v>
      </c>
      <c r="D106" s="195" t="s">
        <v>23</v>
      </c>
      <c r="E106" s="33"/>
      <c r="F106" s="33"/>
      <c r="G106" s="34"/>
      <c r="H106" s="180"/>
      <c r="I106" s="60"/>
      <c r="J106" s="174"/>
      <c r="K106" s="171"/>
      <c r="L106" s="167"/>
      <c r="M106" s="198"/>
      <c r="N106" s="164"/>
      <c r="O106" s="247">
        <f t="shared" si="41"/>
        <v>0</v>
      </c>
      <c r="P106" s="139"/>
      <c r="Q106" s="144"/>
      <c r="R106" s="205" t="str">
        <f t="shared" si="37"/>
        <v>OK</v>
      </c>
      <c r="S106" s="250"/>
      <c r="T106" s="130"/>
      <c r="U106" s="131"/>
      <c r="V106" s="133">
        <f t="shared" si="40"/>
        <v>0</v>
      </c>
    </row>
    <row r="107" spans="1:23" s="16" customFormat="1" ht="13.8" hidden="1" outlineLevel="3" thickBot="1" x14ac:dyDescent="0.35">
      <c r="A107" s="22" t="s">
        <v>18</v>
      </c>
      <c r="B107" s="88" t="str">
        <f t="shared" si="42"/>
        <v>08.010</v>
      </c>
      <c r="C107" s="196" t="s">
        <v>20</v>
      </c>
      <c r="D107" s="196" t="s">
        <v>23</v>
      </c>
      <c r="E107" s="12"/>
      <c r="F107" s="12"/>
      <c r="G107" s="118"/>
      <c r="H107" s="181"/>
      <c r="I107" s="61"/>
      <c r="J107" s="175"/>
      <c r="K107" s="172"/>
      <c r="L107" s="168"/>
      <c r="M107" s="200"/>
      <c r="N107" s="165"/>
      <c r="O107" s="248">
        <f t="shared" si="41"/>
        <v>0</v>
      </c>
      <c r="P107" s="140"/>
      <c r="Q107" s="145"/>
      <c r="R107" s="205" t="str">
        <f t="shared" si="37"/>
        <v>OK</v>
      </c>
      <c r="S107" s="251"/>
      <c r="T107" s="135"/>
      <c r="U107" s="136"/>
      <c r="V107" s="134">
        <f t="shared" si="40"/>
        <v>0</v>
      </c>
    </row>
    <row r="108" spans="1:23" ht="13.8" hidden="1" outlineLevel="1" thickBot="1" x14ac:dyDescent="0.35">
      <c r="J108" s="3"/>
      <c r="K108" s="3"/>
      <c r="L108" s="3"/>
      <c r="M108" s="3"/>
      <c r="N108" s="3"/>
      <c r="O108" s="244"/>
      <c r="P108" s="3"/>
      <c r="R108" s="86"/>
      <c r="S108" s="3"/>
      <c r="V108" s="3"/>
      <c r="W108" s="3"/>
    </row>
    <row r="109" spans="1:23" ht="13.8" hidden="1" outlineLevel="1" thickBot="1" x14ac:dyDescent="0.35">
      <c r="A109" s="122" t="s">
        <v>49</v>
      </c>
      <c r="B109" s="123"/>
      <c r="C109" s="123"/>
      <c r="D109" s="128"/>
      <c r="E109" s="124"/>
      <c r="F109" s="124"/>
      <c r="G109" s="125"/>
      <c r="H109" s="177"/>
      <c r="I109" s="63"/>
      <c r="J109" s="11">
        <f t="shared" ref="J109:O109" si="43">SUM(J110:J119)</f>
        <v>0</v>
      </c>
      <c r="K109" s="10">
        <f t="shared" si="43"/>
        <v>0</v>
      </c>
      <c r="L109" s="10">
        <f t="shared" si="43"/>
        <v>0</v>
      </c>
      <c r="M109" s="10">
        <f t="shared" si="43"/>
        <v>0</v>
      </c>
      <c r="N109" s="10">
        <f t="shared" si="43"/>
        <v>0</v>
      </c>
      <c r="O109" s="10">
        <f t="shared" si="43"/>
        <v>0</v>
      </c>
      <c r="P109" s="28"/>
      <c r="Q109" s="141"/>
      <c r="S109" s="249"/>
      <c r="T109" s="63"/>
      <c r="U109" s="63"/>
      <c r="V109" s="63"/>
      <c r="W109" s="3"/>
    </row>
    <row r="110" spans="1:23" s="16" customFormat="1" ht="13.2" hidden="1" outlineLevel="3" x14ac:dyDescent="0.3">
      <c r="A110" s="62" t="s">
        <v>18</v>
      </c>
      <c r="B110" s="96" t="str">
        <f>CONCATENATE(MID(A109,2,3),"01")</f>
        <v>09.01</v>
      </c>
      <c r="C110" s="194" t="s">
        <v>20</v>
      </c>
      <c r="D110" s="194" t="s">
        <v>49</v>
      </c>
      <c r="E110" s="31"/>
      <c r="F110" s="31"/>
      <c r="G110" s="30"/>
      <c r="H110" s="182"/>
      <c r="I110" s="59"/>
      <c r="J110" s="173"/>
      <c r="K110" s="170"/>
      <c r="L110" s="166"/>
      <c r="M110" s="197"/>
      <c r="N110" s="163"/>
      <c r="O110" s="246">
        <f>+SUM(J110:N110)</f>
        <v>0</v>
      </c>
      <c r="P110" s="138"/>
      <c r="Q110" s="142"/>
      <c r="R110" s="205" t="str">
        <f t="shared" ref="R110" si="44">+IF(O110=V110,"OK","MAL")</f>
        <v>OK</v>
      </c>
      <c r="S110" s="250"/>
      <c r="T110" s="130"/>
      <c r="U110" s="131"/>
      <c r="V110" s="132">
        <f t="shared" ref="V110:V119" si="45">+T110*U110</f>
        <v>0</v>
      </c>
    </row>
    <row r="111" spans="1:23" s="16" customFormat="1" ht="13.2" hidden="1" outlineLevel="3" x14ac:dyDescent="0.3">
      <c r="A111" s="20" t="s">
        <v>18</v>
      </c>
      <c r="B111" s="87" t="str">
        <f>LEFT(B110,4)&amp;TEXT(RIGHT(B110,2)+1,"0")</f>
        <v>09.02</v>
      </c>
      <c r="C111" s="195" t="s">
        <v>20</v>
      </c>
      <c r="D111" s="195" t="s">
        <v>49</v>
      </c>
      <c r="E111" s="33"/>
      <c r="F111" s="33"/>
      <c r="G111" s="34"/>
      <c r="H111" s="180"/>
      <c r="I111" s="60"/>
      <c r="J111" s="174"/>
      <c r="K111" s="171"/>
      <c r="L111" s="167"/>
      <c r="M111" s="198"/>
      <c r="N111" s="164"/>
      <c r="O111" s="247">
        <f t="shared" ref="O111:O119" si="46">+SUM(J111:N111)</f>
        <v>0</v>
      </c>
      <c r="P111" s="139"/>
      <c r="Q111" s="143"/>
      <c r="R111" s="205" t="str">
        <f t="shared" si="37"/>
        <v>OK</v>
      </c>
      <c r="S111" s="250"/>
      <c r="T111" s="130"/>
      <c r="U111" s="131"/>
      <c r="V111" s="133">
        <f t="shared" si="45"/>
        <v>0</v>
      </c>
    </row>
    <row r="112" spans="1:23" s="16" customFormat="1" ht="13.2" hidden="1" outlineLevel="3" x14ac:dyDescent="0.3">
      <c r="A112" s="20" t="s">
        <v>18</v>
      </c>
      <c r="B112" s="87" t="str">
        <f t="shared" ref="B112:B119" si="47">LEFT(B111,4)&amp;TEXT(RIGHT(B111,2)+1,"0")</f>
        <v>09.03</v>
      </c>
      <c r="C112" s="195" t="s">
        <v>20</v>
      </c>
      <c r="D112" s="195" t="s">
        <v>49</v>
      </c>
      <c r="E112" s="33"/>
      <c r="F112" s="33"/>
      <c r="G112" s="34"/>
      <c r="H112" s="180"/>
      <c r="I112" s="60"/>
      <c r="J112" s="174"/>
      <c r="K112" s="171"/>
      <c r="L112" s="167"/>
      <c r="M112" s="198"/>
      <c r="N112" s="164"/>
      <c r="O112" s="247">
        <f t="shared" si="46"/>
        <v>0</v>
      </c>
      <c r="P112" s="139"/>
      <c r="Q112" s="143"/>
      <c r="R112" s="205" t="str">
        <f t="shared" si="37"/>
        <v>OK</v>
      </c>
      <c r="S112" s="250"/>
      <c r="T112" s="130"/>
      <c r="U112" s="131"/>
      <c r="V112" s="133">
        <f t="shared" si="45"/>
        <v>0</v>
      </c>
    </row>
    <row r="113" spans="1:23" s="16" customFormat="1" ht="13.2" hidden="1" outlineLevel="3" x14ac:dyDescent="0.3">
      <c r="A113" s="20" t="s">
        <v>18</v>
      </c>
      <c r="B113" s="87" t="str">
        <f t="shared" si="47"/>
        <v>09.04</v>
      </c>
      <c r="C113" s="195" t="s">
        <v>20</v>
      </c>
      <c r="D113" s="195" t="s">
        <v>49</v>
      </c>
      <c r="E113" s="33"/>
      <c r="F113" s="33"/>
      <c r="G113" s="34"/>
      <c r="H113" s="180"/>
      <c r="I113" s="60"/>
      <c r="J113" s="174"/>
      <c r="K113" s="171"/>
      <c r="L113" s="167"/>
      <c r="M113" s="199"/>
      <c r="N113" s="164"/>
      <c r="O113" s="247">
        <f t="shared" si="46"/>
        <v>0</v>
      </c>
      <c r="P113" s="139"/>
      <c r="Q113" s="143"/>
      <c r="R113" s="205" t="str">
        <f t="shared" si="37"/>
        <v>OK</v>
      </c>
      <c r="S113" s="250"/>
      <c r="T113" s="130"/>
      <c r="U113" s="131"/>
      <c r="V113" s="133">
        <f t="shared" si="45"/>
        <v>0</v>
      </c>
    </row>
    <row r="114" spans="1:23" s="16" customFormat="1" ht="13.2" hidden="1" outlineLevel="3" x14ac:dyDescent="0.3">
      <c r="A114" s="20" t="s">
        <v>18</v>
      </c>
      <c r="B114" s="87" t="str">
        <f t="shared" si="47"/>
        <v>09.05</v>
      </c>
      <c r="C114" s="195" t="s">
        <v>20</v>
      </c>
      <c r="D114" s="195" t="s">
        <v>49</v>
      </c>
      <c r="E114" s="33"/>
      <c r="F114" s="33"/>
      <c r="G114" s="34"/>
      <c r="H114" s="180"/>
      <c r="I114" s="60"/>
      <c r="J114" s="174"/>
      <c r="K114" s="171"/>
      <c r="L114" s="167"/>
      <c r="M114" s="198"/>
      <c r="N114" s="164"/>
      <c r="O114" s="247">
        <f t="shared" si="46"/>
        <v>0</v>
      </c>
      <c r="P114" s="139"/>
      <c r="Q114" s="143"/>
      <c r="R114" s="205" t="str">
        <f t="shared" si="37"/>
        <v>OK</v>
      </c>
      <c r="S114" s="250"/>
      <c r="T114" s="130"/>
      <c r="U114" s="131"/>
      <c r="V114" s="133">
        <f t="shared" si="45"/>
        <v>0</v>
      </c>
    </row>
    <row r="115" spans="1:23" s="16" customFormat="1" ht="13.2" hidden="1" outlineLevel="3" x14ac:dyDescent="0.3">
      <c r="A115" s="20" t="s">
        <v>18</v>
      </c>
      <c r="B115" s="87" t="str">
        <f t="shared" si="47"/>
        <v>09.06</v>
      </c>
      <c r="C115" s="195" t="s">
        <v>20</v>
      </c>
      <c r="D115" s="195" t="s">
        <v>49</v>
      </c>
      <c r="E115" s="33"/>
      <c r="F115" s="33"/>
      <c r="G115" s="34"/>
      <c r="H115" s="180"/>
      <c r="I115" s="60"/>
      <c r="J115" s="174"/>
      <c r="K115" s="171"/>
      <c r="L115" s="167"/>
      <c r="M115" s="198"/>
      <c r="N115" s="164"/>
      <c r="O115" s="247">
        <f t="shared" si="46"/>
        <v>0</v>
      </c>
      <c r="P115" s="139"/>
      <c r="Q115" s="143"/>
      <c r="R115" s="205" t="str">
        <f t="shared" si="37"/>
        <v>OK</v>
      </c>
      <c r="S115" s="250"/>
      <c r="T115" s="130"/>
      <c r="U115" s="131"/>
      <c r="V115" s="133">
        <f t="shared" si="45"/>
        <v>0</v>
      </c>
    </row>
    <row r="116" spans="1:23" s="16" customFormat="1" ht="13.2" hidden="1" outlineLevel="3" x14ac:dyDescent="0.3">
      <c r="A116" s="20" t="s">
        <v>18</v>
      </c>
      <c r="B116" s="87" t="str">
        <f t="shared" si="47"/>
        <v>09.07</v>
      </c>
      <c r="C116" s="195" t="s">
        <v>20</v>
      </c>
      <c r="D116" s="195" t="s">
        <v>49</v>
      </c>
      <c r="E116" s="33"/>
      <c r="F116" s="33"/>
      <c r="G116" s="34"/>
      <c r="H116" s="180"/>
      <c r="I116" s="60"/>
      <c r="J116" s="174"/>
      <c r="K116" s="171"/>
      <c r="L116" s="167"/>
      <c r="M116" s="198"/>
      <c r="N116" s="164"/>
      <c r="O116" s="247">
        <f t="shared" si="46"/>
        <v>0</v>
      </c>
      <c r="P116" s="139"/>
      <c r="Q116" s="143"/>
      <c r="R116" s="205" t="str">
        <f t="shared" si="37"/>
        <v>OK</v>
      </c>
      <c r="S116" s="250"/>
      <c r="T116" s="130"/>
      <c r="U116" s="131"/>
      <c r="V116" s="133">
        <f t="shared" si="45"/>
        <v>0</v>
      </c>
    </row>
    <row r="117" spans="1:23" s="16" customFormat="1" ht="13.2" hidden="1" outlineLevel="3" x14ac:dyDescent="0.3">
      <c r="A117" s="20" t="s">
        <v>18</v>
      </c>
      <c r="B117" s="87" t="str">
        <f t="shared" si="47"/>
        <v>09.08</v>
      </c>
      <c r="C117" s="195" t="s">
        <v>20</v>
      </c>
      <c r="D117" s="195" t="s">
        <v>49</v>
      </c>
      <c r="E117" s="33"/>
      <c r="F117" s="33"/>
      <c r="G117" s="34"/>
      <c r="H117" s="180"/>
      <c r="I117" s="60"/>
      <c r="J117" s="174"/>
      <c r="K117" s="171"/>
      <c r="L117" s="167"/>
      <c r="M117" s="198"/>
      <c r="N117" s="164"/>
      <c r="O117" s="247">
        <f t="shared" si="46"/>
        <v>0</v>
      </c>
      <c r="P117" s="139"/>
      <c r="Q117" s="143"/>
      <c r="R117" s="205" t="str">
        <f t="shared" si="37"/>
        <v>OK</v>
      </c>
      <c r="S117" s="250"/>
      <c r="T117" s="130"/>
      <c r="U117" s="131"/>
      <c r="V117" s="133">
        <f t="shared" si="45"/>
        <v>0</v>
      </c>
    </row>
    <row r="118" spans="1:23" s="16" customFormat="1" ht="13.2" hidden="1" outlineLevel="3" x14ac:dyDescent="0.3">
      <c r="A118" s="20" t="s">
        <v>18</v>
      </c>
      <c r="B118" s="87" t="str">
        <f t="shared" si="47"/>
        <v>09.09</v>
      </c>
      <c r="C118" s="195" t="s">
        <v>20</v>
      </c>
      <c r="D118" s="195" t="s">
        <v>49</v>
      </c>
      <c r="E118" s="33"/>
      <c r="F118" s="33"/>
      <c r="G118" s="34"/>
      <c r="H118" s="180"/>
      <c r="I118" s="60"/>
      <c r="J118" s="174"/>
      <c r="K118" s="171"/>
      <c r="L118" s="167"/>
      <c r="M118" s="198"/>
      <c r="N118" s="164"/>
      <c r="O118" s="247">
        <f t="shared" si="46"/>
        <v>0</v>
      </c>
      <c r="P118" s="139"/>
      <c r="Q118" s="144"/>
      <c r="R118" s="205" t="str">
        <f t="shared" si="37"/>
        <v>OK</v>
      </c>
      <c r="S118" s="250"/>
      <c r="T118" s="130"/>
      <c r="U118" s="131"/>
      <c r="V118" s="133">
        <f t="shared" si="45"/>
        <v>0</v>
      </c>
    </row>
    <row r="119" spans="1:23" s="16" customFormat="1" ht="13.8" hidden="1" outlineLevel="3" thickBot="1" x14ac:dyDescent="0.35">
      <c r="A119" s="22" t="s">
        <v>18</v>
      </c>
      <c r="B119" s="88" t="str">
        <f t="shared" si="47"/>
        <v>09.010</v>
      </c>
      <c r="C119" s="196" t="s">
        <v>20</v>
      </c>
      <c r="D119" s="196" t="s">
        <v>49</v>
      </c>
      <c r="E119" s="12"/>
      <c r="F119" s="12"/>
      <c r="G119" s="118"/>
      <c r="H119" s="181"/>
      <c r="I119" s="61"/>
      <c r="J119" s="175"/>
      <c r="K119" s="172"/>
      <c r="L119" s="168"/>
      <c r="M119" s="200"/>
      <c r="N119" s="165"/>
      <c r="O119" s="248">
        <f t="shared" si="46"/>
        <v>0</v>
      </c>
      <c r="P119" s="140"/>
      <c r="Q119" s="145"/>
      <c r="R119" s="205" t="str">
        <f t="shared" si="37"/>
        <v>OK</v>
      </c>
      <c r="S119" s="251"/>
      <c r="T119" s="135"/>
      <c r="U119" s="136"/>
      <c r="V119" s="134">
        <f t="shared" si="45"/>
        <v>0</v>
      </c>
    </row>
    <row r="120" spans="1:23" ht="13.8" hidden="1" outlineLevel="1" thickBot="1" x14ac:dyDescent="0.35">
      <c r="J120" s="3"/>
      <c r="K120" s="3"/>
      <c r="L120" s="3"/>
      <c r="M120" s="3"/>
      <c r="N120" s="3"/>
      <c r="O120" s="244"/>
      <c r="P120" s="3"/>
      <c r="R120" s="86"/>
      <c r="S120" s="3"/>
      <c r="V120" s="3"/>
      <c r="W120" s="3"/>
    </row>
    <row r="121" spans="1:23" ht="13.8" hidden="1" outlineLevel="1" thickBot="1" x14ac:dyDescent="0.35">
      <c r="A121" s="122" t="s">
        <v>50</v>
      </c>
      <c r="B121" s="123"/>
      <c r="C121" s="123"/>
      <c r="D121" s="128"/>
      <c r="E121" s="124"/>
      <c r="F121" s="124"/>
      <c r="G121" s="125"/>
      <c r="H121" s="177"/>
      <c r="I121" s="63"/>
      <c r="J121" s="11">
        <f t="shared" ref="J121:O121" si="48">SUM(J122:J131)</f>
        <v>0</v>
      </c>
      <c r="K121" s="10">
        <f t="shared" si="48"/>
        <v>0</v>
      </c>
      <c r="L121" s="10">
        <f t="shared" si="48"/>
        <v>0</v>
      </c>
      <c r="M121" s="10">
        <f t="shared" si="48"/>
        <v>0</v>
      </c>
      <c r="N121" s="10">
        <f t="shared" si="48"/>
        <v>0</v>
      </c>
      <c r="O121" s="10">
        <f t="shared" si="48"/>
        <v>0</v>
      </c>
      <c r="P121" s="28"/>
      <c r="Q121" s="141"/>
      <c r="S121" s="249"/>
      <c r="T121" s="63"/>
      <c r="U121" s="63"/>
      <c r="V121" s="63"/>
      <c r="W121" s="3"/>
    </row>
    <row r="122" spans="1:23" s="16" customFormat="1" ht="13.2" hidden="1" outlineLevel="3" x14ac:dyDescent="0.3">
      <c r="A122" s="62" t="s">
        <v>18</v>
      </c>
      <c r="B122" s="96" t="str">
        <f>CONCATENATE(MID(A121,2,3),"01")</f>
        <v>10.01</v>
      </c>
      <c r="C122" s="194" t="s">
        <v>20</v>
      </c>
      <c r="D122" s="194" t="s">
        <v>50</v>
      </c>
      <c r="E122" s="31"/>
      <c r="F122" s="31"/>
      <c r="G122" s="30"/>
      <c r="H122" s="182"/>
      <c r="I122" s="59"/>
      <c r="J122" s="173"/>
      <c r="K122" s="170"/>
      <c r="L122" s="166"/>
      <c r="M122" s="197"/>
      <c r="N122" s="163"/>
      <c r="O122" s="246">
        <f>+SUM(J122:N122)</f>
        <v>0</v>
      </c>
      <c r="P122" s="138"/>
      <c r="Q122" s="142"/>
      <c r="R122" s="205" t="str">
        <f t="shared" ref="R122" si="49">+IF(O122=V122,"OK","MAL")</f>
        <v>OK</v>
      </c>
      <c r="S122" s="250"/>
      <c r="T122" s="130"/>
      <c r="U122" s="131"/>
      <c r="V122" s="132">
        <f t="shared" ref="V122:V131" si="50">+T122*U122</f>
        <v>0</v>
      </c>
    </row>
    <row r="123" spans="1:23" s="16" customFormat="1" ht="13.2" hidden="1" outlineLevel="3" x14ac:dyDescent="0.3">
      <c r="A123" s="20" t="s">
        <v>18</v>
      </c>
      <c r="B123" s="87" t="str">
        <f>LEFT(B122,4)&amp;TEXT(RIGHT(B122,2)+1,"0")</f>
        <v>10.02</v>
      </c>
      <c r="C123" s="195" t="s">
        <v>20</v>
      </c>
      <c r="D123" s="195" t="s">
        <v>50</v>
      </c>
      <c r="E123" s="33"/>
      <c r="F123" s="33"/>
      <c r="G123" s="34"/>
      <c r="H123" s="180"/>
      <c r="I123" s="60"/>
      <c r="J123" s="174"/>
      <c r="K123" s="171"/>
      <c r="L123" s="167"/>
      <c r="M123" s="198"/>
      <c r="N123" s="164"/>
      <c r="O123" s="247">
        <f t="shared" ref="O123:O131" si="51">+SUM(J123:N123)</f>
        <v>0</v>
      </c>
      <c r="P123" s="139"/>
      <c r="Q123" s="143"/>
      <c r="R123" s="205" t="str">
        <f t="shared" si="37"/>
        <v>OK</v>
      </c>
      <c r="S123" s="250"/>
      <c r="T123" s="130"/>
      <c r="U123" s="131"/>
      <c r="V123" s="133">
        <f t="shared" si="50"/>
        <v>0</v>
      </c>
    </row>
    <row r="124" spans="1:23" s="16" customFormat="1" ht="13.2" hidden="1" outlineLevel="3" x14ac:dyDescent="0.3">
      <c r="A124" s="20" t="s">
        <v>18</v>
      </c>
      <c r="B124" s="87" t="str">
        <f t="shared" ref="B124:B131" si="52">LEFT(B123,4)&amp;TEXT(RIGHT(B123,2)+1,"0")</f>
        <v>10.03</v>
      </c>
      <c r="C124" s="195" t="s">
        <v>20</v>
      </c>
      <c r="D124" s="195" t="s">
        <v>50</v>
      </c>
      <c r="E124" s="33"/>
      <c r="F124" s="33"/>
      <c r="G124" s="34"/>
      <c r="H124" s="180"/>
      <c r="I124" s="60"/>
      <c r="J124" s="174"/>
      <c r="K124" s="171"/>
      <c r="L124" s="167"/>
      <c r="M124" s="198"/>
      <c r="N124" s="164"/>
      <c r="O124" s="247">
        <f t="shared" si="51"/>
        <v>0</v>
      </c>
      <c r="P124" s="139"/>
      <c r="Q124" s="143"/>
      <c r="R124" s="205" t="str">
        <f t="shared" si="37"/>
        <v>OK</v>
      </c>
      <c r="S124" s="250"/>
      <c r="T124" s="130"/>
      <c r="U124" s="131"/>
      <c r="V124" s="133">
        <f t="shared" si="50"/>
        <v>0</v>
      </c>
    </row>
    <row r="125" spans="1:23" s="16" customFormat="1" ht="13.2" hidden="1" outlineLevel="3" x14ac:dyDescent="0.3">
      <c r="A125" s="20" t="s">
        <v>18</v>
      </c>
      <c r="B125" s="87" t="str">
        <f t="shared" si="52"/>
        <v>10.04</v>
      </c>
      <c r="C125" s="195" t="s">
        <v>20</v>
      </c>
      <c r="D125" s="195" t="s">
        <v>50</v>
      </c>
      <c r="E125" s="33"/>
      <c r="F125" s="33"/>
      <c r="G125" s="34"/>
      <c r="H125" s="180"/>
      <c r="I125" s="60"/>
      <c r="J125" s="174"/>
      <c r="K125" s="171"/>
      <c r="L125" s="167"/>
      <c r="M125" s="199"/>
      <c r="N125" s="164"/>
      <c r="O125" s="247">
        <f t="shared" si="51"/>
        <v>0</v>
      </c>
      <c r="P125" s="139"/>
      <c r="Q125" s="143"/>
      <c r="R125" s="205" t="str">
        <f t="shared" si="37"/>
        <v>OK</v>
      </c>
      <c r="S125" s="250"/>
      <c r="T125" s="130"/>
      <c r="U125" s="131"/>
      <c r="V125" s="133">
        <f t="shared" si="50"/>
        <v>0</v>
      </c>
    </row>
    <row r="126" spans="1:23" s="16" customFormat="1" ht="13.2" hidden="1" outlineLevel="3" x14ac:dyDescent="0.3">
      <c r="A126" s="20" t="s">
        <v>18</v>
      </c>
      <c r="B126" s="87" t="str">
        <f t="shared" si="52"/>
        <v>10.05</v>
      </c>
      <c r="C126" s="195" t="s">
        <v>20</v>
      </c>
      <c r="D126" s="195" t="s">
        <v>50</v>
      </c>
      <c r="E126" s="33"/>
      <c r="F126" s="33"/>
      <c r="G126" s="34"/>
      <c r="H126" s="180"/>
      <c r="I126" s="60"/>
      <c r="J126" s="174"/>
      <c r="K126" s="171"/>
      <c r="L126" s="167"/>
      <c r="M126" s="198"/>
      <c r="N126" s="164"/>
      <c r="O126" s="247">
        <f t="shared" si="51"/>
        <v>0</v>
      </c>
      <c r="P126" s="139"/>
      <c r="Q126" s="143"/>
      <c r="R126" s="205" t="str">
        <f t="shared" si="37"/>
        <v>OK</v>
      </c>
      <c r="S126" s="250"/>
      <c r="T126" s="130"/>
      <c r="U126" s="131"/>
      <c r="V126" s="133">
        <f t="shared" si="50"/>
        <v>0</v>
      </c>
    </row>
    <row r="127" spans="1:23" s="16" customFormat="1" ht="13.2" hidden="1" outlineLevel="3" x14ac:dyDescent="0.3">
      <c r="A127" s="20" t="s">
        <v>18</v>
      </c>
      <c r="B127" s="87" t="str">
        <f t="shared" si="52"/>
        <v>10.06</v>
      </c>
      <c r="C127" s="195" t="s">
        <v>20</v>
      </c>
      <c r="D127" s="195" t="s">
        <v>50</v>
      </c>
      <c r="E127" s="33"/>
      <c r="F127" s="33"/>
      <c r="G127" s="34"/>
      <c r="H127" s="180"/>
      <c r="I127" s="60"/>
      <c r="J127" s="174"/>
      <c r="K127" s="171"/>
      <c r="L127" s="167"/>
      <c r="M127" s="198"/>
      <c r="N127" s="164"/>
      <c r="O127" s="247">
        <f t="shared" si="51"/>
        <v>0</v>
      </c>
      <c r="P127" s="139"/>
      <c r="Q127" s="143"/>
      <c r="R127" s="205" t="str">
        <f t="shared" si="37"/>
        <v>OK</v>
      </c>
      <c r="S127" s="250"/>
      <c r="T127" s="130"/>
      <c r="U127" s="131"/>
      <c r="V127" s="133">
        <f t="shared" si="50"/>
        <v>0</v>
      </c>
    </row>
    <row r="128" spans="1:23" s="16" customFormat="1" ht="13.2" hidden="1" outlineLevel="3" x14ac:dyDescent="0.3">
      <c r="A128" s="20" t="s">
        <v>18</v>
      </c>
      <c r="B128" s="87" t="str">
        <f t="shared" si="52"/>
        <v>10.07</v>
      </c>
      <c r="C128" s="195" t="s">
        <v>20</v>
      </c>
      <c r="D128" s="195" t="s">
        <v>50</v>
      </c>
      <c r="E128" s="33"/>
      <c r="F128" s="33"/>
      <c r="G128" s="34"/>
      <c r="H128" s="180"/>
      <c r="I128" s="60"/>
      <c r="J128" s="174"/>
      <c r="K128" s="171"/>
      <c r="L128" s="167"/>
      <c r="M128" s="198"/>
      <c r="N128" s="164"/>
      <c r="O128" s="247">
        <f t="shared" si="51"/>
        <v>0</v>
      </c>
      <c r="P128" s="139"/>
      <c r="Q128" s="143"/>
      <c r="R128" s="205" t="str">
        <f t="shared" si="37"/>
        <v>OK</v>
      </c>
      <c r="S128" s="250"/>
      <c r="T128" s="130"/>
      <c r="U128" s="131"/>
      <c r="V128" s="133">
        <f t="shared" si="50"/>
        <v>0</v>
      </c>
    </row>
    <row r="129" spans="1:23" s="16" customFormat="1" ht="13.2" hidden="1" outlineLevel="3" x14ac:dyDescent="0.3">
      <c r="A129" s="20" t="s">
        <v>18</v>
      </c>
      <c r="B129" s="87" t="str">
        <f t="shared" si="52"/>
        <v>10.08</v>
      </c>
      <c r="C129" s="195" t="s">
        <v>20</v>
      </c>
      <c r="D129" s="195" t="s">
        <v>50</v>
      </c>
      <c r="E129" s="33"/>
      <c r="F129" s="33"/>
      <c r="G129" s="34"/>
      <c r="H129" s="180"/>
      <c r="I129" s="60"/>
      <c r="J129" s="174"/>
      <c r="K129" s="171"/>
      <c r="L129" s="167"/>
      <c r="M129" s="198"/>
      <c r="N129" s="164"/>
      <c r="O129" s="247">
        <f t="shared" si="51"/>
        <v>0</v>
      </c>
      <c r="P129" s="139"/>
      <c r="Q129" s="143"/>
      <c r="R129" s="205" t="str">
        <f t="shared" si="37"/>
        <v>OK</v>
      </c>
      <c r="S129" s="250"/>
      <c r="T129" s="130"/>
      <c r="U129" s="131"/>
      <c r="V129" s="133">
        <f t="shared" si="50"/>
        <v>0</v>
      </c>
    </row>
    <row r="130" spans="1:23" s="16" customFormat="1" ht="13.2" hidden="1" outlineLevel="3" x14ac:dyDescent="0.3">
      <c r="A130" s="20" t="s">
        <v>18</v>
      </c>
      <c r="B130" s="87" t="str">
        <f t="shared" si="52"/>
        <v>10.09</v>
      </c>
      <c r="C130" s="195" t="s">
        <v>20</v>
      </c>
      <c r="D130" s="195" t="s">
        <v>50</v>
      </c>
      <c r="E130" s="33"/>
      <c r="F130" s="33"/>
      <c r="G130" s="34"/>
      <c r="H130" s="180"/>
      <c r="I130" s="60"/>
      <c r="J130" s="174"/>
      <c r="K130" s="171"/>
      <c r="L130" s="167"/>
      <c r="M130" s="198"/>
      <c r="N130" s="164"/>
      <c r="O130" s="247">
        <f t="shared" si="51"/>
        <v>0</v>
      </c>
      <c r="P130" s="139"/>
      <c r="Q130" s="144"/>
      <c r="R130" s="205" t="str">
        <f t="shared" si="37"/>
        <v>OK</v>
      </c>
      <c r="S130" s="250"/>
      <c r="T130" s="130"/>
      <c r="U130" s="131"/>
      <c r="V130" s="133">
        <f t="shared" si="50"/>
        <v>0</v>
      </c>
    </row>
    <row r="131" spans="1:23" s="16" customFormat="1" ht="13.8" hidden="1" outlineLevel="3" thickBot="1" x14ac:dyDescent="0.35">
      <c r="A131" s="22" t="s">
        <v>18</v>
      </c>
      <c r="B131" s="88" t="str">
        <f t="shared" si="52"/>
        <v>10.010</v>
      </c>
      <c r="C131" s="196" t="s">
        <v>20</v>
      </c>
      <c r="D131" s="196" t="s">
        <v>50</v>
      </c>
      <c r="E131" s="12"/>
      <c r="F131" s="12"/>
      <c r="G131" s="118"/>
      <c r="H131" s="181"/>
      <c r="I131" s="61"/>
      <c r="J131" s="175"/>
      <c r="K131" s="172"/>
      <c r="L131" s="168"/>
      <c r="M131" s="200"/>
      <c r="N131" s="165"/>
      <c r="O131" s="248">
        <f t="shared" si="51"/>
        <v>0</v>
      </c>
      <c r="P131" s="140"/>
      <c r="Q131" s="145"/>
      <c r="R131" s="205" t="str">
        <f t="shared" si="37"/>
        <v>OK</v>
      </c>
      <c r="S131" s="251"/>
      <c r="T131" s="135"/>
      <c r="U131" s="136"/>
      <c r="V131" s="134">
        <f t="shared" si="50"/>
        <v>0</v>
      </c>
    </row>
    <row r="132" spans="1:23" ht="13.8" hidden="1" outlineLevel="1" thickBot="1" x14ac:dyDescent="0.35">
      <c r="J132" s="3"/>
      <c r="K132" s="3"/>
      <c r="L132" s="3"/>
      <c r="M132" s="3"/>
      <c r="N132" s="3"/>
      <c r="O132" s="244"/>
      <c r="P132" s="3"/>
      <c r="R132" s="86"/>
      <c r="S132" s="3"/>
      <c r="V132" s="3"/>
      <c r="W132" s="3"/>
    </row>
    <row r="133" spans="1:23" ht="13.8" hidden="1" outlineLevel="1" thickBot="1" x14ac:dyDescent="0.35">
      <c r="A133" s="122" t="s">
        <v>51</v>
      </c>
      <c r="B133" s="123"/>
      <c r="C133" s="123"/>
      <c r="D133" s="128"/>
      <c r="E133" s="124"/>
      <c r="F133" s="124"/>
      <c r="G133" s="125"/>
      <c r="H133" s="177"/>
      <c r="I133" s="63"/>
      <c r="J133" s="11">
        <f t="shared" ref="J133:O133" si="53">SUM(J134:J143)</f>
        <v>0</v>
      </c>
      <c r="K133" s="10">
        <f t="shared" si="53"/>
        <v>0</v>
      </c>
      <c r="L133" s="10">
        <f t="shared" si="53"/>
        <v>0</v>
      </c>
      <c r="M133" s="10">
        <f t="shared" si="53"/>
        <v>0</v>
      </c>
      <c r="N133" s="10">
        <f t="shared" si="53"/>
        <v>0</v>
      </c>
      <c r="O133" s="10">
        <f t="shared" si="53"/>
        <v>0</v>
      </c>
      <c r="P133" s="28"/>
      <c r="Q133" s="141"/>
      <c r="S133" s="249"/>
      <c r="T133" s="63"/>
      <c r="U133" s="63"/>
      <c r="V133" s="63"/>
      <c r="W133" s="3"/>
    </row>
    <row r="134" spans="1:23" s="16" customFormat="1" ht="13.2" hidden="1" outlineLevel="3" x14ac:dyDescent="0.3">
      <c r="A134" s="62" t="s">
        <v>18</v>
      </c>
      <c r="B134" s="96" t="str">
        <f>CONCATENATE(MID(A133,2,3),"01")</f>
        <v>11.01</v>
      </c>
      <c r="C134" s="194" t="s">
        <v>20</v>
      </c>
      <c r="D134" s="194" t="s">
        <v>51</v>
      </c>
      <c r="E134" s="31"/>
      <c r="F134" s="31"/>
      <c r="G134" s="30"/>
      <c r="H134" s="182"/>
      <c r="I134" s="59"/>
      <c r="J134" s="173"/>
      <c r="K134" s="170"/>
      <c r="L134" s="166"/>
      <c r="M134" s="197"/>
      <c r="N134" s="163"/>
      <c r="O134" s="246">
        <f>+SUM(J134:N134)</f>
        <v>0</v>
      </c>
      <c r="P134" s="138"/>
      <c r="Q134" s="142"/>
      <c r="R134" s="205" t="str">
        <f t="shared" ref="R134" si="54">+IF(O134=V134,"OK","MAL")</f>
        <v>OK</v>
      </c>
      <c r="S134" s="250"/>
      <c r="T134" s="130"/>
      <c r="U134" s="131"/>
      <c r="V134" s="132">
        <f t="shared" ref="V134:V143" si="55">+T134*U134</f>
        <v>0</v>
      </c>
    </row>
    <row r="135" spans="1:23" s="16" customFormat="1" ht="13.2" hidden="1" outlineLevel="3" x14ac:dyDescent="0.3">
      <c r="A135" s="20" t="s">
        <v>18</v>
      </c>
      <c r="B135" s="87" t="str">
        <f>LEFT(B134,4)&amp;TEXT(RIGHT(B134,2)+1,"0")</f>
        <v>11.02</v>
      </c>
      <c r="C135" s="195" t="s">
        <v>20</v>
      </c>
      <c r="D135" s="195" t="s">
        <v>51</v>
      </c>
      <c r="E135" s="33"/>
      <c r="F135" s="33"/>
      <c r="G135" s="34"/>
      <c r="H135" s="180"/>
      <c r="I135" s="60"/>
      <c r="J135" s="174"/>
      <c r="K135" s="171"/>
      <c r="L135" s="167"/>
      <c r="M135" s="198"/>
      <c r="N135" s="164"/>
      <c r="O135" s="247">
        <f t="shared" ref="O135:O143" si="56">+SUM(J135:N135)</f>
        <v>0</v>
      </c>
      <c r="P135" s="139"/>
      <c r="Q135" s="143"/>
      <c r="R135" s="205" t="str">
        <f t="shared" si="37"/>
        <v>OK</v>
      </c>
      <c r="S135" s="250"/>
      <c r="T135" s="130"/>
      <c r="U135" s="131"/>
      <c r="V135" s="133">
        <f t="shared" si="55"/>
        <v>0</v>
      </c>
    </row>
    <row r="136" spans="1:23" s="16" customFormat="1" ht="13.2" hidden="1" outlineLevel="3" x14ac:dyDescent="0.3">
      <c r="A136" s="20" t="s">
        <v>18</v>
      </c>
      <c r="B136" s="87" t="str">
        <f t="shared" ref="B136:B143" si="57">LEFT(B135,4)&amp;TEXT(RIGHT(B135,2)+1,"0")</f>
        <v>11.03</v>
      </c>
      <c r="C136" s="195" t="s">
        <v>20</v>
      </c>
      <c r="D136" s="195" t="s">
        <v>51</v>
      </c>
      <c r="E136" s="33"/>
      <c r="F136" s="33"/>
      <c r="G136" s="34"/>
      <c r="H136" s="180"/>
      <c r="I136" s="60"/>
      <c r="J136" s="174"/>
      <c r="K136" s="171"/>
      <c r="L136" s="167"/>
      <c r="M136" s="198"/>
      <c r="N136" s="164"/>
      <c r="O136" s="247">
        <f t="shared" si="56"/>
        <v>0</v>
      </c>
      <c r="P136" s="139"/>
      <c r="Q136" s="143"/>
      <c r="R136" s="205" t="str">
        <f t="shared" si="37"/>
        <v>OK</v>
      </c>
      <c r="S136" s="250"/>
      <c r="T136" s="130"/>
      <c r="U136" s="131"/>
      <c r="V136" s="133">
        <f t="shared" si="55"/>
        <v>0</v>
      </c>
    </row>
    <row r="137" spans="1:23" s="16" customFormat="1" ht="13.2" hidden="1" outlineLevel="3" x14ac:dyDescent="0.3">
      <c r="A137" s="20" t="s">
        <v>18</v>
      </c>
      <c r="B137" s="87" t="str">
        <f t="shared" si="57"/>
        <v>11.04</v>
      </c>
      <c r="C137" s="195" t="s">
        <v>20</v>
      </c>
      <c r="D137" s="195" t="s">
        <v>51</v>
      </c>
      <c r="E137" s="33"/>
      <c r="F137" s="33"/>
      <c r="G137" s="34"/>
      <c r="H137" s="180"/>
      <c r="I137" s="60"/>
      <c r="J137" s="174"/>
      <c r="K137" s="171"/>
      <c r="L137" s="167"/>
      <c r="M137" s="199"/>
      <c r="N137" s="164"/>
      <c r="O137" s="247">
        <f t="shared" si="56"/>
        <v>0</v>
      </c>
      <c r="P137" s="139"/>
      <c r="Q137" s="143"/>
      <c r="R137" s="205" t="str">
        <f t="shared" si="37"/>
        <v>OK</v>
      </c>
      <c r="S137" s="250"/>
      <c r="T137" s="130"/>
      <c r="U137" s="131"/>
      <c r="V137" s="133">
        <f t="shared" si="55"/>
        <v>0</v>
      </c>
    </row>
    <row r="138" spans="1:23" s="16" customFormat="1" ht="13.2" hidden="1" outlineLevel="3" x14ac:dyDescent="0.3">
      <c r="A138" s="20" t="s">
        <v>18</v>
      </c>
      <c r="B138" s="87" t="str">
        <f t="shared" si="57"/>
        <v>11.05</v>
      </c>
      <c r="C138" s="195" t="s">
        <v>20</v>
      </c>
      <c r="D138" s="195" t="s">
        <v>51</v>
      </c>
      <c r="E138" s="33"/>
      <c r="F138" s="33"/>
      <c r="G138" s="34"/>
      <c r="H138" s="180"/>
      <c r="I138" s="60"/>
      <c r="J138" s="174"/>
      <c r="K138" s="171"/>
      <c r="L138" s="167"/>
      <c r="M138" s="198"/>
      <c r="N138" s="164"/>
      <c r="O138" s="247">
        <f t="shared" si="56"/>
        <v>0</v>
      </c>
      <c r="P138" s="139"/>
      <c r="Q138" s="143"/>
      <c r="R138" s="205" t="str">
        <f t="shared" si="37"/>
        <v>OK</v>
      </c>
      <c r="S138" s="250"/>
      <c r="T138" s="130"/>
      <c r="U138" s="131"/>
      <c r="V138" s="133">
        <f t="shared" si="55"/>
        <v>0</v>
      </c>
    </row>
    <row r="139" spans="1:23" s="16" customFormat="1" ht="13.2" hidden="1" outlineLevel="3" x14ac:dyDescent="0.3">
      <c r="A139" s="20" t="s">
        <v>18</v>
      </c>
      <c r="B139" s="87" t="str">
        <f t="shared" si="57"/>
        <v>11.06</v>
      </c>
      <c r="C139" s="195" t="s">
        <v>20</v>
      </c>
      <c r="D139" s="195" t="s">
        <v>51</v>
      </c>
      <c r="E139" s="33"/>
      <c r="F139" s="33"/>
      <c r="G139" s="34"/>
      <c r="H139" s="180"/>
      <c r="I139" s="60"/>
      <c r="J139" s="174"/>
      <c r="K139" s="171"/>
      <c r="L139" s="167"/>
      <c r="M139" s="198"/>
      <c r="N139" s="164"/>
      <c r="O139" s="247">
        <f t="shared" si="56"/>
        <v>0</v>
      </c>
      <c r="P139" s="139"/>
      <c r="Q139" s="143"/>
      <c r="R139" s="205" t="str">
        <f t="shared" si="37"/>
        <v>OK</v>
      </c>
      <c r="S139" s="250"/>
      <c r="T139" s="130"/>
      <c r="U139" s="131"/>
      <c r="V139" s="133">
        <f t="shared" si="55"/>
        <v>0</v>
      </c>
    </row>
    <row r="140" spans="1:23" s="16" customFormat="1" ht="13.2" hidden="1" outlineLevel="3" x14ac:dyDescent="0.3">
      <c r="A140" s="20" t="s">
        <v>18</v>
      </c>
      <c r="B140" s="87" t="str">
        <f t="shared" si="57"/>
        <v>11.07</v>
      </c>
      <c r="C140" s="195" t="s">
        <v>20</v>
      </c>
      <c r="D140" s="195" t="s">
        <v>51</v>
      </c>
      <c r="E140" s="33"/>
      <c r="F140" s="33"/>
      <c r="G140" s="34"/>
      <c r="H140" s="180"/>
      <c r="I140" s="60"/>
      <c r="J140" s="174"/>
      <c r="K140" s="171"/>
      <c r="L140" s="167"/>
      <c r="M140" s="198"/>
      <c r="N140" s="164"/>
      <c r="O140" s="247">
        <f t="shared" si="56"/>
        <v>0</v>
      </c>
      <c r="P140" s="139"/>
      <c r="Q140" s="143"/>
      <c r="R140" s="205" t="str">
        <f t="shared" si="37"/>
        <v>OK</v>
      </c>
      <c r="S140" s="250"/>
      <c r="T140" s="130"/>
      <c r="U140" s="131"/>
      <c r="V140" s="133">
        <f t="shared" si="55"/>
        <v>0</v>
      </c>
    </row>
    <row r="141" spans="1:23" s="16" customFormat="1" ht="13.2" hidden="1" outlineLevel="3" x14ac:dyDescent="0.3">
      <c r="A141" s="20" t="s">
        <v>18</v>
      </c>
      <c r="B141" s="87" t="str">
        <f t="shared" si="57"/>
        <v>11.08</v>
      </c>
      <c r="C141" s="195" t="s">
        <v>20</v>
      </c>
      <c r="D141" s="195" t="s">
        <v>51</v>
      </c>
      <c r="E141" s="33"/>
      <c r="F141" s="33"/>
      <c r="G141" s="34"/>
      <c r="H141" s="180"/>
      <c r="I141" s="60"/>
      <c r="J141" s="174"/>
      <c r="K141" s="171"/>
      <c r="L141" s="167"/>
      <c r="M141" s="198"/>
      <c r="N141" s="164"/>
      <c r="O141" s="247">
        <f t="shared" si="56"/>
        <v>0</v>
      </c>
      <c r="P141" s="139"/>
      <c r="Q141" s="143"/>
      <c r="R141" s="205" t="str">
        <f t="shared" si="37"/>
        <v>OK</v>
      </c>
      <c r="S141" s="250"/>
      <c r="T141" s="130"/>
      <c r="U141" s="131"/>
      <c r="V141" s="133">
        <f t="shared" si="55"/>
        <v>0</v>
      </c>
    </row>
    <row r="142" spans="1:23" s="16" customFormat="1" ht="13.2" hidden="1" outlineLevel="3" x14ac:dyDescent="0.3">
      <c r="A142" s="20" t="s">
        <v>18</v>
      </c>
      <c r="B142" s="87" t="str">
        <f t="shared" si="57"/>
        <v>11.09</v>
      </c>
      <c r="C142" s="195" t="s">
        <v>20</v>
      </c>
      <c r="D142" s="195" t="s">
        <v>51</v>
      </c>
      <c r="E142" s="33"/>
      <c r="F142" s="33"/>
      <c r="G142" s="34"/>
      <c r="H142" s="180"/>
      <c r="I142" s="60"/>
      <c r="J142" s="174"/>
      <c r="K142" s="171"/>
      <c r="L142" s="167"/>
      <c r="M142" s="198"/>
      <c r="N142" s="164"/>
      <c r="O142" s="247">
        <f t="shared" si="56"/>
        <v>0</v>
      </c>
      <c r="P142" s="139"/>
      <c r="Q142" s="144"/>
      <c r="R142" s="205" t="str">
        <f t="shared" si="37"/>
        <v>OK</v>
      </c>
      <c r="S142" s="250"/>
      <c r="T142" s="130"/>
      <c r="U142" s="131"/>
      <c r="V142" s="133">
        <f t="shared" si="55"/>
        <v>0</v>
      </c>
    </row>
    <row r="143" spans="1:23" s="16" customFormat="1" ht="13.8" hidden="1" outlineLevel="3" thickBot="1" x14ac:dyDescent="0.35">
      <c r="A143" s="22" t="s">
        <v>18</v>
      </c>
      <c r="B143" s="88" t="str">
        <f t="shared" si="57"/>
        <v>11.010</v>
      </c>
      <c r="C143" s="196" t="s">
        <v>20</v>
      </c>
      <c r="D143" s="196" t="s">
        <v>51</v>
      </c>
      <c r="E143" s="12"/>
      <c r="F143" s="12"/>
      <c r="G143" s="118"/>
      <c r="H143" s="181"/>
      <c r="I143" s="61"/>
      <c r="J143" s="175"/>
      <c r="K143" s="172"/>
      <c r="L143" s="168"/>
      <c r="M143" s="200"/>
      <c r="N143" s="165"/>
      <c r="O143" s="248">
        <f t="shared" si="56"/>
        <v>0</v>
      </c>
      <c r="P143" s="140"/>
      <c r="Q143" s="145"/>
      <c r="R143" s="205" t="str">
        <f t="shared" si="37"/>
        <v>OK</v>
      </c>
      <c r="S143" s="251"/>
      <c r="T143" s="135"/>
      <c r="U143" s="136"/>
      <c r="V143" s="134">
        <f t="shared" si="55"/>
        <v>0</v>
      </c>
    </row>
    <row r="144" spans="1:23" ht="13.8" hidden="1" outlineLevel="1" thickBot="1" x14ac:dyDescent="0.35">
      <c r="J144" s="3"/>
      <c r="K144" s="3"/>
      <c r="L144" s="3"/>
      <c r="M144" s="3"/>
      <c r="N144" s="3"/>
      <c r="O144" s="244"/>
      <c r="P144" s="3"/>
      <c r="R144" s="86"/>
      <c r="S144" s="3"/>
      <c r="V144" s="3"/>
      <c r="W144" s="3"/>
    </row>
    <row r="145" spans="1:23" ht="13.8" hidden="1" outlineLevel="1" thickBot="1" x14ac:dyDescent="0.35">
      <c r="A145" s="122" t="s">
        <v>52</v>
      </c>
      <c r="B145" s="123"/>
      <c r="C145" s="123"/>
      <c r="D145" s="128"/>
      <c r="E145" s="124"/>
      <c r="F145" s="124"/>
      <c r="G145" s="125"/>
      <c r="H145" s="177"/>
      <c r="I145" s="63"/>
      <c r="J145" s="11">
        <f t="shared" ref="J145:O145" si="58">SUM(J146:J155)</f>
        <v>0</v>
      </c>
      <c r="K145" s="10">
        <f t="shared" si="58"/>
        <v>0</v>
      </c>
      <c r="L145" s="10">
        <f t="shared" si="58"/>
        <v>0</v>
      </c>
      <c r="M145" s="10">
        <f t="shared" si="58"/>
        <v>0</v>
      </c>
      <c r="N145" s="10">
        <f t="shared" si="58"/>
        <v>0</v>
      </c>
      <c r="O145" s="10">
        <f t="shared" si="58"/>
        <v>0</v>
      </c>
      <c r="P145" s="28"/>
      <c r="Q145" s="141"/>
      <c r="S145" s="249"/>
      <c r="T145" s="63"/>
      <c r="U145" s="63"/>
      <c r="V145" s="63"/>
      <c r="W145" s="3"/>
    </row>
    <row r="146" spans="1:23" s="16" customFormat="1" ht="13.2" hidden="1" outlineLevel="3" x14ac:dyDescent="0.3">
      <c r="A146" s="62" t="s">
        <v>18</v>
      </c>
      <c r="B146" s="96" t="str">
        <f>CONCATENATE(MID(A145,2,3),"01")</f>
        <v>12.01</v>
      </c>
      <c r="C146" s="194" t="s">
        <v>20</v>
      </c>
      <c r="D146" s="194" t="s">
        <v>52</v>
      </c>
      <c r="E146" s="31"/>
      <c r="F146" s="31"/>
      <c r="G146" s="30"/>
      <c r="H146" s="182"/>
      <c r="I146" s="59"/>
      <c r="J146" s="173"/>
      <c r="K146" s="170"/>
      <c r="L146" s="166"/>
      <c r="M146" s="197"/>
      <c r="N146" s="163"/>
      <c r="O146" s="246">
        <f>+SUM(J146:N146)</f>
        <v>0</v>
      </c>
      <c r="P146" s="138"/>
      <c r="Q146" s="142"/>
      <c r="R146" s="205" t="str">
        <f t="shared" ref="R146" si="59">+IF(O146=V146,"OK","MAL")</f>
        <v>OK</v>
      </c>
      <c r="S146" s="250"/>
      <c r="T146" s="130"/>
      <c r="U146" s="131"/>
      <c r="V146" s="132">
        <f t="shared" ref="V146:V155" si="60">+T146*U146</f>
        <v>0</v>
      </c>
    </row>
    <row r="147" spans="1:23" s="16" customFormat="1" ht="13.2" hidden="1" outlineLevel="3" x14ac:dyDescent="0.3">
      <c r="A147" s="20" t="s">
        <v>18</v>
      </c>
      <c r="B147" s="87" t="str">
        <f>LEFT(B146,4)&amp;TEXT(RIGHT(B146,2)+1,"0")</f>
        <v>12.02</v>
      </c>
      <c r="C147" s="195" t="s">
        <v>20</v>
      </c>
      <c r="D147" s="195" t="s">
        <v>52</v>
      </c>
      <c r="E147" s="33"/>
      <c r="F147" s="33"/>
      <c r="G147" s="34"/>
      <c r="H147" s="180"/>
      <c r="I147" s="60"/>
      <c r="J147" s="174"/>
      <c r="K147" s="171"/>
      <c r="L147" s="167"/>
      <c r="M147" s="198"/>
      <c r="N147" s="164"/>
      <c r="O147" s="247">
        <f t="shared" ref="O147:O155" si="61">+SUM(J147:N147)</f>
        <v>0</v>
      </c>
      <c r="P147" s="139"/>
      <c r="Q147" s="143"/>
      <c r="R147" s="205" t="str">
        <f t="shared" si="37"/>
        <v>OK</v>
      </c>
      <c r="S147" s="250"/>
      <c r="T147" s="130"/>
      <c r="U147" s="131"/>
      <c r="V147" s="133">
        <f t="shared" si="60"/>
        <v>0</v>
      </c>
    </row>
    <row r="148" spans="1:23" s="16" customFormat="1" ht="13.2" hidden="1" outlineLevel="3" x14ac:dyDescent="0.3">
      <c r="A148" s="20" t="s">
        <v>18</v>
      </c>
      <c r="B148" s="87" t="str">
        <f t="shared" ref="B148:B155" si="62">LEFT(B147,4)&amp;TEXT(RIGHT(B147,2)+1,"0")</f>
        <v>12.03</v>
      </c>
      <c r="C148" s="195" t="s">
        <v>20</v>
      </c>
      <c r="D148" s="195" t="s">
        <v>52</v>
      </c>
      <c r="E148" s="33"/>
      <c r="F148" s="33"/>
      <c r="G148" s="34"/>
      <c r="H148" s="180"/>
      <c r="I148" s="60"/>
      <c r="J148" s="174"/>
      <c r="K148" s="171"/>
      <c r="L148" s="167"/>
      <c r="M148" s="198"/>
      <c r="N148" s="164"/>
      <c r="O148" s="247">
        <f t="shared" si="61"/>
        <v>0</v>
      </c>
      <c r="P148" s="139"/>
      <c r="Q148" s="143"/>
      <c r="R148" s="205" t="str">
        <f t="shared" si="37"/>
        <v>OK</v>
      </c>
      <c r="S148" s="250"/>
      <c r="T148" s="130"/>
      <c r="U148" s="131"/>
      <c r="V148" s="133">
        <f t="shared" si="60"/>
        <v>0</v>
      </c>
    </row>
    <row r="149" spans="1:23" s="16" customFormat="1" ht="13.2" hidden="1" outlineLevel="3" x14ac:dyDescent="0.3">
      <c r="A149" s="20" t="s">
        <v>18</v>
      </c>
      <c r="B149" s="87" t="str">
        <f t="shared" si="62"/>
        <v>12.04</v>
      </c>
      <c r="C149" s="195" t="s">
        <v>20</v>
      </c>
      <c r="D149" s="195" t="s">
        <v>52</v>
      </c>
      <c r="E149" s="33"/>
      <c r="F149" s="33"/>
      <c r="G149" s="34"/>
      <c r="H149" s="180"/>
      <c r="I149" s="60"/>
      <c r="J149" s="174"/>
      <c r="K149" s="171"/>
      <c r="L149" s="167"/>
      <c r="M149" s="199"/>
      <c r="N149" s="164"/>
      <c r="O149" s="247">
        <f t="shared" si="61"/>
        <v>0</v>
      </c>
      <c r="P149" s="139"/>
      <c r="Q149" s="143"/>
      <c r="R149" s="205" t="str">
        <f t="shared" si="37"/>
        <v>OK</v>
      </c>
      <c r="S149" s="250"/>
      <c r="T149" s="130"/>
      <c r="U149" s="131"/>
      <c r="V149" s="133">
        <f t="shared" si="60"/>
        <v>0</v>
      </c>
    </row>
    <row r="150" spans="1:23" s="16" customFormat="1" ht="13.2" hidden="1" outlineLevel="3" x14ac:dyDescent="0.3">
      <c r="A150" s="20" t="s">
        <v>18</v>
      </c>
      <c r="B150" s="87" t="str">
        <f t="shared" si="62"/>
        <v>12.05</v>
      </c>
      <c r="C150" s="195" t="s">
        <v>20</v>
      </c>
      <c r="D150" s="195" t="s">
        <v>52</v>
      </c>
      <c r="E150" s="33"/>
      <c r="F150" s="33"/>
      <c r="G150" s="34"/>
      <c r="H150" s="180"/>
      <c r="I150" s="60"/>
      <c r="J150" s="174"/>
      <c r="K150" s="171"/>
      <c r="L150" s="167"/>
      <c r="M150" s="198"/>
      <c r="N150" s="164"/>
      <c r="O150" s="247">
        <f t="shared" si="61"/>
        <v>0</v>
      </c>
      <c r="P150" s="139"/>
      <c r="Q150" s="143"/>
      <c r="R150" s="205" t="str">
        <f t="shared" si="37"/>
        <v>OK</v>
      </c>
      <c r="S150" s="250"/>
      <c r="T150" s="130"/>
      <c r="U150" s="131"/>
      <c r="V150" s="133">
        <f t="shared" si="60"/>
        <v>0</v>
      </c>
    </row>
    <row r="151" spans="1:23" s="16" customFormat="1" ht="13.2" hidden="1" outlineLevel="3" x14ac:dyDescent="0.3">
      <c r="A151" s="20" t="s">
        <v>18</v>
      </c>
      <c r="B151" s="87" t="str">
        <f t="shared" si="62"/>
        <v>12.06</v>
      </c>
      <c r="C151" s="195" t="s">
        <v>20</v>
      </c>
      <c r="D151" s="195" t="s">
        <v>52</v>
      </c>
      <c r="E151" s="33"/>
      <c r="F151" s="33"/>
      <c r="G151" s="34"/>
      <c r="H151" s="180"/>
      <c r="I151" s="60"/>
      <c r="J151" s="174"/>
      <c r="K151" s="171"/>
      <c r="L151" s="167"/>
      <c r="M151" s="198"/>
      <c r="N151" s="164"/>
      <c r="O151" s="247">
        <f t="shared" si="61"/>
        <v>0</v>
      </c>
      <c r="P151" s="139"/>
      <c r="Q151" s="143"/>
      <c r="R151" s="205" t="str">
        <f t="shared" si="37"/>
        <v>OK</v>
      </c>
      <c r="S151" s="250"/>
      <c r="T151" s="130"/>
      <c r="U151" s="131"/>
      <c r="V151" s="133">
        <f t="shared" si="60"/>
        <v>0</v>
      </c>
    </row>
    <row r="152" spans="1:23" s="16" customFormat="1" ht="13.2" hidden="1" outlineLevel="3" x14ac:dyDescent="0.3">
      <c r="A152" s="20" t="s">
        <v>18</v>
      </c>
      <c r="B152" s="87" t="str">
        <f t="shared" si="62"/>
        <v>12.07</v>
      </c>
      <c r="C152" s="195" t="s">
        <v>20</v>
      </c>
      <c r="D152" s="195" t="s">
        <v>52</v>
      </c>
      <c r="E152" s="33"/>
      <c r="F152" s="33"/>
      <c r="G152" s="34"/>
      <c r="H152" s="180"/>
      <c r="I152" s="60"/>
      <c r="J152" s="174"/>
      <c r="K152" s="171"/>
      <c r="L152" s="167"/>
      <c r="M152" s="198"/>
      <c r="N152" s="164"/>
      <c r="O152" s="247">
        <f t="shared" si="61"/>
        <v>0</v>
      </c>
      <c r="P152" s="139"/>
      <c r="Q152" s="143"/>
      <c r="R152" s="205" t="str">
        <f t="shared" si="37"/>
        <v>OK</v>
      </c>
      <c r="S152" s="250"/>
      <c r="T152" s="130"/>
      <c r="U152" s="131"/>
      <c r="V152" s="133">
        <f t="shared" si="60"/>
        <v>0</v>
      </c>
    </row>
    <row r="153" spans="1:23" s="16" customFormat="1" ht="13.2" hidden="1" outlineLevel="3" x14ac:dyDescent="0.3">
      <c r="A153" s="20" t="s">
        <v>18</v>
      </c>
      <c r="B153" s="87" t="str">
        <f t="shared" si="62"/>
        <v>12.08</v>
      </c>
      <c r="C153" s="195" t="s">
        <v>20</v>
      </c>
      <c r="D153" s="195" t="s">
        <v>52</v>
      </c>
      <c r="E153" s="33"/>
      <c r="F153" s="33"/>
      <c r="G153" s="34"/>
      <c r="H153" s="180"/>
      <c r="I153" s="60"/>
      <c r="J153" s="174"/>
      <c r="K153" s="171"/>
      <c r="L153" s="167"/>
      <c r="M153" s="198"/>
      <c r="N153" s="164"/>
      <c r="O153" s="247">
        <f t="shared" si="61"/>
        <v>0</v>
      </c>
      <c r="P153" s="139"/>
      <c r="Q153" s="143"/>
      <c r="R153" s="205" t="str">
        <f t="shared" si="37"/>
        <v>OK</v>
      </c>
      <c r="S153" s="250"/>
      <c r="T153" s="130"/>
      <c r="U153" s="131"/>
      <c r="V153" s="133">
        <f t="shared" si="60"/>
        <v>0</v>
      </c>
    </row>
    <row r="154" spans="1:23" s="16" customFormat="1" ht="13.2" hidden="1" outlineLevel="3" x14ac:dyDescent="0.3">
      <c r="A154" s="20" t="s">
        <v>18</v>
      </c>
      <c r="B154" s="87" t="str">
        <f t="shared" si="62"/>
        <v>12.09</v>
      </c>
      <c r="C154" s="195" t="s">
        <v>20</v>
      </c>
      <c r="D154" s="195" t="s">
        <v>52</v>
      </c>
      <c r="E154" s="33"/>
      <c r="F154" s="33"/>
      <c r="G154" s="34"/>
      <c r="H154" s="180"/>
      <c r="I154" s="60"/>
      <c r="J154" s="174"/>
      <c r="K154" s="171"/>
      <c r="L154" s="167"/>
      <c r="M154" s="198"/>
      <c r="N154" s="164"/>
      <c r="O154" s="247">
        <f t="shared" si="61"/>
        <v>0</v>
      </c>
      <c r="P154" s="139"/>
      <c r="Q154" s="144"/>
      <c r="R154" s="205" t="str">
        <f t="shared" ref="R154:R191" si="63">+IF(O154=V154,"OK","MAL")</f>
        <v>OK</v>
      </c>
      <c r="S154" s="250"/>
      <c r="T154" s="130"/>
      <c r="U154" s="131"/>
      <c r="V154" s="133">
        <f t="shared" si="60"/>
        <v>0</v>
      </c>
    </row>
    <row r="155" spans="1:23" s="16" customFormat="1" ht="13.8" hidden="1" outlineLevel="3" thickBot="1" x14ac:dyDescent="0.35">
      <c r="A155" s="22" t="s">
        <v>18</v>
      </c>
      <c r="B155" s="88" t="str">
        <f t="shared" si="62"/>
        <v>12.010</v>
      </c>
      <c r="C155" s="196" t="s">
        <v>20</v>
      </c>
      <c r="D155" s="196" t="s">
        <v>52</v>
      </c>
      <c r="E155" s="12"/>
      <c r="F155" s="12"/>
      <c r="G155" s="118"/>
      <c r="H155" s="181"/>
      <c r="I155" s="61"/>
      <c r="J155" s="175"/>
      <c r="K155" s="172"/>
      <c r="L155" s="168"/>
      <c r="M155" s="200"/>
      <c r="N155" s="165"/>
      <c r="O155" s="248">
        <f t="shared" si="61"/>
        <v>0</v>
      </c>
      <c r="P155" s="140"/>
      <c r="Q155" s="145"/>
      <c r="R155" s="205" t="str">
        <f t="shared" si="63"/>
        <v>OK</v>
      </c>
      <c r="S155" s="251"/>
      <c r="T155" s="135"/>
      <c r="U155" s="136"/>
      <c r="V155" s="134">
        <f t="shared" si="60"/>
        <v>0</v>
      </c>
    </row>
    <row r="156" spans="1:23" ht="13.8" hidden="1" outlineLevel="1" thickBot="1" x14ac:dyDescent="0.35">
      <c r="J156" s="3"/>
      <c r="K156" s="3"/>
      <c r="L156" s="3"/>
      <c r="M156" s="3"/>
      <c r="N156" s="3"/>
      <c r="O156" s="244"/>
      <c r="P156" s="3"/>
      <c r="R156" s="86"/>
      <c r="S156" s="3"/>
      <c r="V156" s="3"/>
      <c r="W156" s="3"/>
    </row>
    <row r="157" spans="1:23" ht="13.8" hidden="1" outlineLevel="1" thickBot="1" x14ac:dyDescent="0.35">
      <c r="A157" s="122" t="s">
        <v>53</v>
      </c>
      <c r="B157" s="123"/>
      <c r="C157" s="123"/>
      <c r="D157" s="128"/>
      <c r="E157" s="124"/>
      <c r="F157" s="124"/>
      <c r="G157" s="125"/>
      <c r="H157" s="177"/>
      <c r="I157" s="63"/>
      <c r="J157" s="11">
        <f t="shared" ref="J157:O157" si="64">SUM(J158:J167)</f>
        <v>0</v>
      </c>
      <c r="K157" s="10">
        <f t="shared" si="64"/>
        <v>0</v>
      </c>
      <c r="L157" s="10">
        <f t="shared" si="64"/>
        <v>0</v>
      </c>
      <c r="M157" s="10">
        <f t="shared" si="64"/>
        <v>0</v>
      </c>
      <c r="N157" s="10">
        <f t="shared" si="64"/>
        <v>0</v>
      </c>
      <c r="O157" s="10">
        <f t="shared" si="64"/>
        <v>0</v>
      </c>
      <c r="P157" s="28"/>
      <c r="Q157" s="141"/>
      <c r="S157" s="249"/>
      <c r="T157" s="63"/>
      <c r="U157" s="63"/>
      <c r="V157" s="63"/>
      <c r="W157" s="3"/>
    </row>
    <row r="158" spans="1:23" s="16" customFormat="1" ht="13.2" hidden="1" outlineLevel="3" x14ac:dyDescent="0.3">
      <c r="A158" s="62" t="s">
        <v>18</v>
      </c>
      <c r="B158" s="96" t="str">
        <f>CONCATENATE(MID(A157,2,3),"01")</f>
        <v>13.01</v>
      </c>
      <c r="C158" s="194" t="s">
        <v>20</v>
      </c>
      <c r="D158" s="194" t="s">
        <v>53</v>
      </c>
      <c r="E158" s="31"/>
      <c r="F158" s="31"/>
      <c r="G158" s="30"/>
      <c r="H158" s="182"/>
      <c r="I158" s="59"/>
      <c r="J158" s="173"/>
      <c r="K158" s="170"/>
      <c r="L158" s="166"/>
      <c r="M158" s="197"/>
      <c r="N158" s="163"/>
      <c r="O158" s="246">
        <f>+SUM(J158:N158)</f>
        <v>0</v>
      </c>
      <c r="P158" s="138"/>
      <c r="Q158" s="142"/>
      <c r="R158" s="205" t="str">
        <f t="shared" ref="R158" si="65">+IF(O158=V158,"OK","MAL")</f>
        <v>OK</v>
      </c>
      <c r="S158" s="250"/>
      <c r="T158" s="130"/>
      <c r="U158" s="131"/>
      <c r="V158" s="132">
        <f t="shared" ref="V158:V167" si="66">+T158*U158</f>
        <v>0</v>
      </c>
    </row>
    <row r="159" spans="1:23" s="16" customFormat="1" ht="13.2" hidden="1" outlineLevel="3" x14ac:dyDescent="0.3">
      <c r="A159" s="20" t="s">
        <v>18</v>
      </c>
      <c r="B159" s="87" t="str">
        <f>LEFT(B158,4)&amp;TEXT(RIGHT(B158,2)+1,"0")</f>
        <v>13.02</v>
      </c>
      <c r="C159" s="195" t="s">
        <v>20</v>
      </c>
      <c r="D159" s="195" t="s">
        <v>53</v>
      </c>
      <c r="E159" s="33"/>
      <c r="F159" s="33"/>
      <c r="G159" s="34"/>
      <c r="H159" s="180"/>
      <c r="I159" s="60"/>
      <c r="J159" s="174"/>
      <c r="K159" s="171"/>
      <c r="L159" s="167"/>
      <c r="M159" s="198"/>
      <c r="N159" s="164"/>
      <c r="O159" s="247">
        <f t="shared" ref="O159:O167" si="67">+SUM(J159:N159)</f>
        <v>0</v>
      </c>
      <c r="P159" s="139"/>
      <c r="Q159" s="143"/>
      <c r="R159" s="205" t="str">
        <f t="shared" si="63"/>
        <v>OK</v>
      </c>
      <c r="S159" s="250"/>
      <c r="T159" s="130"/>
      <c r="U159" s="131"/>
      <c r="V159" s="133">
        <f t="shared" si="66"/>
        <v>0</v>
      </c>
    </row>
    <row r="160" spans="1:23" s="16" customFormat="1" ht="13.2" hidden="1" outlineLevel="3" x14ac:dyDescent="0.3">
      <c r="A160" s="20" t="s">
        <v>18</v>
      </c>
      <c r="B160" s="87" t="str">
        <f t="shared" ref="B160:B167" si="68">LEFT(B159,4)&amp;TEXT(RIGHT(B159,2)+1,"0")</f>
        <v>13.03</v>
      </c>
      <c r="C160" s="195" t="s">
        <v>20</v>
      </c>
      <c r="D160" s="195" t="s">
        <v>53</v>
      </c>
      <c r="E160" s="33"/>
      <c r="F160" s="33"/>
      <c r="G160" s="34"/>
      <c r="H160" s="180"/>
      <c r="I160" s="60"/>
      <c r="J160" s="174"/>
      <c r="K160" s="171"/>
      <c r="L160" s="167"/>
      <c r="M160" s="198"/>
      <c r="N160" s="164"/>
      <c r="O160" s="247">
        <f t="shared" si="67"/>
        <v>0</v>
      </c>
      <c r="P160" s="139"/>
      <c r="Q160" s="143"/>
      <c r="R160" s="205" t="str">
        <f t="shared" si="63"/>
        <v>OK</v>
      </c>
      <c r="S160" s="250"/>
      <c r="T160" s="130"/>
      <c r="U160" s="131"/>
      <c r="V160" s="133">
        <f t="shared" si="66"/>
        <v>0</v>
      </c>
    </row>
    <row r="161" spans="1:23" s="16" customFormat="1" ht="13.2" hidden="1" outlineLevel="3" x14ac:dyDescent="0.3">
      <c r="A161" s="20" t="s">
        <v>18</v>
      </c>
      <c r="B161" s="87" t="str">
        <f t="shared" si="68"/>
        <v>13.04</v>
      </c>
      <c r="C161" s="195" t="s">
        <v>20</v>
      </c>
      <c r="D161" s="195" t="s">
        <v>53</v>
      </c>
      <c r="E161" s="33"/>
      <c r="F161" s="33"/>
      <c r="G161" s="34"/>
      <c r="H161" s="180"/>
      <c r="I161" s="60"/>
      <c r="J161" s="174"/>
      <c r="K161" s="171"/>
      <c r="L161" s="167"/>
      <c r="M161" s="199"/>
      <c r="N161" s="164"/>
      <c r="O161" s="247">
        <f t="shared" si="67"/>
        <v>0</v>
      </c>
      <c r="P161" s="139"/>
      <c r="Q161" s="143"/>
      <c r="R161" s="205" t="str">
        <f t="shared" si="63"/>
        <v>OK</v>
      </c>
      <c r="S161" s="250"/>
      <c r="T161" s="130"/>
      <c r="U161" s="131"/>
      <c r="V161" s="133">
        <f t="shared" si="66"/>
        <v>0</v>
      </c>
    </row>
    <row r="162" spans="1:23" s="16" customFormat="1" ht="13.2" hidden="1" outlineLevel="3" x14ac:dyDescent="0.3">
      <c r="A162" s="20" t="s">
        <v>18</v>
      </c>
      <c r="B162" s="87" t="str">
        <f t="shared" si="68"/>
        <v>13.05</v>
      </c>
      <c r="C162" s="195" t="s">
        <v>20</v>
      </c>
      <c r="D162" s="195" t="s">
        <v>53</v>
      </c>
      <c r="E162" s="33"/>
      <c r="F162" s="33"/>
      <c r="G162" s="34"/>
      <c r="H162" s="180"/>
      <c r="I162" s="60"/>
      <c r="J162" s="174"/>
      <c r="K162" s="171"/>
      <c r="L162" s="167"/>
      <c r="M162" s="198"/>
      <c r="N162" s="164"/>
      <c r="O162" s="247">
        <f t="shared" si="67"/>
        <v>0</v>
      </c>
      <c r="P162" s="139"/>
      <c r="Q162" s="143"/>
      <c r="R162" s="205" t="str">
        <f t="shared" si="63"/>
        <v>OK</v>
      </c>
      <c r="S162" s="250"/>
      <c r="T162" s="130"/>
      <c r="U162" s="131"/>
      <c r="V162" s="133">
        <f t="shared" si="66"/>
        <v>0</v>
      </c>
    </row>
    <row r="163" spans="1:23" s="16" customFormat="1" ht="13.2" hidden="1" outlineLevel="3" x14ac:dyDescent="0.3">
      <c r="A163" s="20" t="s">
        <v>18</v>
      </c>
      <c r="B163" s="87" t="str">
        <f t="shared" si="68"/>
        <v>13.06</v>
      </c>
      <c r="C163" s="195" t="s">
        <v>20</v>
      </c>
      <c r="D163" s="195" t="s">
        <v>53</v>
      </c>
      <c r="E163" s="33"/>
      <c r="F163" s="33"/>
      <c r="G163" s="34"/>
      <c r="H163" s="180"/>
      <c r="I163" s="60"/>
      <c r="J163" s="174"/>
      <c r="K163" s="171"/>
      <c r="L163" s="167"/>
      <c r="M163" s="198"/>
      <c r="N163" s="164"/>
      <c r="O163" s="247">
        <f t="shared" si="67"/>
        <v>0</v>
      </c>
      <c r="P163" s="139"/>
      <c r="Q163" s="143"/>
      <c r="R163" s="205" t="str">
        <f t="shared" si="63"/>
        <v>OK</v>
      </c>
      <c r="S163" s="250"/>
      <c r="T163" s="130"/>
      <c r="U163" s="131"/>
      <c r="V163" s="133">
        <f t="shared" si="66"/>
        <v>0</v>
      </c>
    </row>
    <row r="164" spans="1:23" s="16" customFormat="1" ht="13.2" hidden="1" outlineLevel="3" x14ac:dyDescent="0.3">
      <c r="A164" s="20" t="s">
        <v>18</v>
      </c>
      <c r="B164" s="87" t="str">
        <f t="shared" si="68"/>
        <v>13.07</v>
      </c>
      <c r="C164" s="195" t="s">
        <v>20</v>
      </c>
      <c r="D164" s="195" t="s">
        <v>53</v>
      </c>
      <c r="E164" s="33"/>
      <c r="F164" s="33"/>
      <c r="G164" s="34"/>
      <c r="H164" s="180"/>
      <c r="I164" s="60"/>
      <c r="J164" s="174"/>
      <c r="K164" s="171"/>
      <c r="L164" s="167"/>
      <c r="M164" s="198"/>
      <c r="N164" s="164"/>
      <c r="O164" s="247">
        <f t="shared" si="67"/>
        <v>0</v>
      </c>
      <c r="P164" s="139"/>
      <c r="Q164" s="143"/>
      <c r="R164" s="205" t="str">
        <f t="shared" si="63"/>
        <v>OK</v>
      </c>
      <c r="S164" s="250"/>
      <c r="T164" s="130"/>
      <c r="U164" s="131"/>
      <c r="V164" s="133">
        <f t="shared" si="66"/>
        <v>0</v>
      </c>
    </row>
    <row r="165" spans="1:23" s="16" customFormat="1" ht="13.2" hidden="1" outlineLevel="3" x14ac:dyDescent="0.3">
      <c r="A165" s="20" t="s">
        <v>18</v>
      </c>
      <c r="B165" s="87" t="str">
        <f t="shared" si="68"/>
        <v>13.08</v>
      </c>
      <c r="C165" s="195" t="s">
        <v>20</v>
      </c>
      <c r="D165" s="195" t="s">
        <v>53</v>
      </c>
      <c r="E165" s="33"/>
      <c r="F165" s="33"/>
      <c r="G165" s="34"/>
      <c r="H165" s="180"/>
      <c r="I165" s="60"/>
      <c r="J165" s="174"/>
      <c r="K165" s="171"/>
      <c r="L165" s="167"/>
      <c r="M165" s="198"/>
      <c r="N165" s="164"/>
      <c r="O165" s="247">
        <f t="shared" si="67"/>
        <v>0</v>
      </c>
      <c r="P165" s="139"/>
      <c r="Q165" s="143"/>
      <c r="R165" s="205" t="str">
        <f t="shared" si="63"/>
        <v>OK</v>
      </c>
      <c r="S165" s="250"/>
      <c r="T165" s="130"/>
      <c r="U165" s="131"/>
      <c r="V165" s="133">
        <f t="shared" si="66"/>
        <v>0</v>
      </c>
    </row>
    <row r="166" spans="1:23" s="16" customFormat="1" ht="13.2" hidden="1" outlineLevel="3" x14ac:dyDescent="0.3">
      <c r="A166" s="20" t="s">
        <v>18</v>
      </c>
      <c r="B166" s="87" t="str">
        <f t="shared" si="68"/>
        <v>13.09</v>
      </c>
      <c r="C166" s="195" t="s">
        <v>20</v>
      </c>
      <c r="D166" s="195" t="s">
        <v>53</v>
      </c>
      <c r="E166" s="33"/>
      <c r="F166" s="33"/>
      <c r="G166" s="34"/>
      <c r="H166" s="180"/>
      <c r="I166" s="60"/>
      <c r="J166" s="174"/>
      <c r="K166" s="171"/>
      <c r="L166" s="167"/>
      <c r="M166" s="198"/>
      <c r="N166" s="164"/>
      <c r="O166" s="247">
        <f t="shared" si="67"/>
        <v>0</v>
      </c>
      <c r="P166" s="139"/>
      <c r="Q166" s="144"/>
      <c r="R166" s="205" t="str">
        <f t="shared" si="63"/>
        <v>OK</v>
      </c>
      <c r="S166" s="250"/>
      <c r="T166" s="130"/>
      <c r="U166" s="131"/>
      <c r="V166" s="133">
        <f t="shared" si="66"/>
        <v>0</v>
      </c>
    </row>
    <row r="167" spans="1:23" s="16" customFormat="1" ht="13.8" hidden="1" outlineLevel="3" thickBot="1" x14ac:dyDescent="0.35">
      <c r="A167" s="22" t="s">
        <v>18</v>
      </c>
      <c r="B167" s="88" t="str">
        <f t="shared" si="68"/>
        <v>13.010</v>
      </c>
      <c r="C167" s="196" t="s">
        <v>20</v>
      </c>
      <c r="D167" s="196" t="s">
        <v>53</v>
      </c>
      <c r="E167" s="12"/>
      <c r="F167" s="12"/>
      <c r="G167" s="118"/>
      <c r="H167" s="181"/>
      <c r="I167" s="61"/>
      <c r="J167" s="175"/>
      <c r="K167" s="172"/>
      <c r="L167" s="168"/>
      <c r="M167" s="200"/>
      <c r="N167" s="165"/>
      <c r="O167" s="248">
        <f t="shared" si="67"/>
        <v>0</v>
      </c>
      <c r="P167" s="140"/>
      <c r="Q167" s="145"/>
      <c r="R167" s="205" t="str">
        <f t="shared" si="63"/>
        <v>OK</v>
      </c>
      <c r="S167" s="251"/>
      <c r="T167" s="135"/>
      <c r="U167" s="136"/>
      <c r="V167" s="134">
        <f t="shared" si="66"/>
        <v>0</v>
      </c>
    </row>
    <row r="168" spans="1:23" ht="13.8" hidden="1" outlineLevel="1" thickBot="1" x14ac:dyDescent="0.35">
      <c r="J168" s="3"/>
      <c r="K168" s="3"/>
      <c r="L168" s="3"/>
      <c r="M168" s="3"/>
      <c r="N168" s="3"/>
      <c r="O168" s="244"/>
      <c r="P168" s="3"/>
      <c r="R168" s="86"/>
      <c r="S168" s="3"/>
      <c r="V168" s="3"/>
      <c r="W168" s="3"/>
    </row>
    <row r="169" spans="1:23" ht="13.8" hidden="1" outlineLevel="1" thickBot="1" x14ac:dyDescent="0.35">
      <c r="A169" s="122" t="s">
        <v>54</v>
      </c>
      <c r="B169" s="123"/>
      <c r="C169" s="123"/>
      <c r="D169" s="128"/>
      <c r="E169" s="124"/>
      <c r="F169" s="124"/>
      <c r="G169" s="125"/>
      <c r="H169" s="177"/>
      <c r="I169" s="63"/>
      <c r="J169" s="11">
        <f t="shared" ref="J169:O169" si="69">SUM(J170:J179)</f>
        <v>0</v>
      </c>
      <c r="K169" s="10">
        <f t="shared" si="69"/>
        <v>0</v>
      </c>
      <c r="L169" s="10">
        <f t="shared" si="69"/>
        <v>0</v>
      </c>
      <c r="M169" s="10">
        <f t="shared" si="69"/>
        <v>0</v>
      </c>
      <c r="N169" s="10">
        <f t="shared" si="69"/>
        <v>0</v>
      </c>
      <c r="O169" s="10">
        <f t="shared" si="69"/>
        <v>0</v>
      </c>
      <c r="P169" s="28"/>
      <c r="Q169" s="141"/>
      <c r="S169" s="249"/>
      <c r="T169" s="63"/>
      <c r="U169" s="63"/>
      <c r="V169" s="63"/>
      <c r="W169" s="3"/>
    </row>
    <row r="170" spans="1:23" s="16" customFormat="1" ht="13.2" hidden="1" outlineLevel="3" x14ac:dyDescent="0.3">
      <c r="A170" s="62" t="s">
        <v>18</v>
      </c>
      <c r="B170" s="96" t="str">
        <f>CONCATENATE(MID(A169,2,3),"01")</f>
        <v>14.01</v>
      </c>
      <c r="C170" s="194" t="s">
        <v>20</v>
      </c>
      <c r="D170" s="194" t="s">
        <v>54</v>
      </c>
      <c r="E170" s="31"/>
      <c r="F170" s="31"/>
      <c r="G170" s="30"/>
      <c r="H170" s="182"/>
      <c r="I170" s="59"/>
      <c r="J170" s="173"/>
      <c r="K170" s="170"/>
      <c r="L170" s="166"/>
      <c r="M170" s="197"/>
      <c r="N170" s="163"/>
      <c r="O170" s="246">
        <f>+SUM(J170:N170)</f>
        <v>0</v>
      </c>
      <c r="P170" s="138"/>
      <c r="Q170" s="142"/>
      <c r="R170" s="205" t="str">
        <f t="shared" ref="R170" si="70">+IF(O170=V170,"OK","MAL")</f>
        <v>OK</v>
      </c>
      <c r="S170" s="250"/>
      <c r="T170" s="130"/>
      <c r="U170" s="131"/>
      <c r="V170" s="132">
        <f t="shared" ref="V170:V179" si="71">+T170*U170</f>
        <v>0</v>
      </c>
    </row>
    <row r="171" spans="1:23" s="16" customFormat="1" ht="13.2" hidden="1" outlineLevel="3" x14ac:dyDescent="0.3">
      <c r="A171" s="20" t="s">
        <v>18</v>
      </c>
      <c r="B171" s="87" t="str">
        <f>LEFT(B170,4)&amp;TEXT(RIGHT(B170,2)+1,"0")</f>
        <v>14.02</v>
      </c>
      <c r="C171" s="195" t="s">
        <v>20</v>
      </c>
      <c r="D171" s="195" t="s">
        <v>54</v>
      </c>
      <c r="E171" s="33"/>
      <c r="F171" s="33"/>
      <c r="G171" s="34"/>
      <c r="H171" s="180"/>
      <c r="I171" s="60"/>
      <c r="J171" s="174"/>
      <c r="K171" s="171"/>
      <c r="L171" s="167"/>
      <c r="M171" s="198"/>
      <c r="N171" s="164"/>
      <c r="O171" s="247">
        <f t="shared" ref="O171:O179" si="72">+SUM(J171:N171)</f>
        <v>0</v>
      </c>
      <c r="P171" s="139"/>
      <c r="Q171" s="143"/>
      <c r="R171" s="205" t="str">
        <f t="shared" si="63"/>
        <v>OK</v>
      </c>
      <c r="S171" s="250"/>
      <c r="T171" s="130"/>
      <c r="U171" s="131"/>
      <c r="V171" s="133">
        <f t="shared" si="71"/>
        <v>0</v>
      </c>
    </row>
    <row r="172" spans="1:23" s="16" customFormat="1" ht="13.2" hidden="1" outlineLevel="3" x14ac:dyDescent="0.3">
      <c r="A172" s="20" t="s">
        <v>18</v>
      </c>
      <c r="B172" s="87" t="str">
        <f t="shared" ref="B172:B179" si="73">LEFT(B171,4)&amp;TEXT(RIGHT(B171,2)+1,"0")</f>
        <v>14.03</v>
      </c>
      <c r="C172" s="195" t="s">
        <v>20</v>
      </c>
      <c r="D172" s="195" t="s">
        <v>54</v>
      </c>
      <c r="E172" s="33"/>
      <c r="F172" s="33"/>
      <c r="G172" s="34"/>
      <c r="H172" s="180"/>
      <c r="I172" s="60"/>
      <c r="J172" s="174"/>
      <c r="K172" s="171"/>
      <c r="L172" s="167"/>
      <c r="M172" s="198"/>
      <c r="N172" s="164"/>
      <c r="O172" s="247">
        <f t="shared" si="72"/>
        <v>0</v>
      </c>
      <c r="P172" s="139"/>
      <c r="Q172" s="143"/>
      <c r="R172" s="205" t="str">
        <f t="shared" si="63"/>
        <v>OK</v>
      </c>
      <c r="S172" s="250"/>
      <c r="T172" s="130"/>
      <c r="U172" s="131"/>
      <c r="V172" s="133">
        <f t="shared" si="71"/>
        <v>0</v>
      </c>
    </row>
    <row r="173" spans="1:23" s="16" customFormat="1" ht="13.2" hidden="1" outlineLevel="3" x14ac:dyDescent="0.3">
      <c r="A173" s="20" t="s">
        <v>18</v>
      </c>
      <c r="B173" s="87" t="str">
        <f t="shared" si="73"/>
        <v>14.04</v>
      </c>
      <c r="C173" s="195" t="s">
        <v>20</v>
      </c>
      <c r="D173" s="195" t="s">
        <v>54</v>
      </c>
      <c r="E173" s="33"/>
      <c r="F173" s="33"/>
      <c r="G173" s="34"/>
      <c r="H173" s="180"/>
      <c r="I173" s="60"/>
      <c r="J173" s="174"/>
      <c r="K173" s="171"/>
      <c r="L173" s="167"/>
      <c r="M173" s="199"/>
      <c r="N173" s="164"/>
      <c r="O173" s="247">
        <f t="shared" si="72"/>
        <v>0</v>
      </c>
      <c r="P173" s="139"/>
      <c r="Q173" s="143"/>
      <c r="R173" s="205" t="str">
        <f t="shared" si="63"/>
        <v>OK</v>
      </c>
      <c r="S173" s="250"/>
      <c r="T173" s="130"/>
      <c r="U173" s="131"/>
      <c r="V173" s="133">
        <f t="shared" si="71"/>
        <v>0</v>
      </c>
    </row>
    <row r="174" spans="1:23" s="16" customFormat="1" ht="13.2" hidden="1" outlineLevel="3" x14ac:dyDescent="0.3">
      <c r="A174" s="20" t="s">
        <v>18</v>
      </c>
      <c r="B174" s="87" t="str">
        <f t="shared" si="73"/>
        <v>14.05</v>
      </c>
      <c r="C174" s="195" t="s">
        <v>20</v>
      </c>
      <c r="D174" s="195" t="s">
        <v>54</v>
      </c>
      <c r="E174" s="33"/>
      <c r="F174" s="33"/>
      <c r="G174" s="34"/>
      <c r="H174" s="180"/>
      <c r="I174" s="60"/>
      <c r="J174" s="174"/>
      <c r="K174" s="171"/>
      <c r="L174" s="167"/>
      <c r="M174" s="198"/>
      <c r="N174" s="164"/>
      <c r="O174" s="247">
        <f t="shared" si="72"/>
        <v>0</v>
      </c>
      <c r="P174" s="139"/>
      <c r="Q174" s="143"/>
      <c r="R174" s="205" t="str">
        <f t="shared" si="63"/>
        <v>OK</v>
      </c>
      <c r="S174" s="250"/>
      <c r="T174" s="130"/>
      <c r="U174" s="131"/>
      <c r="V174" s="133">
        <f t="shared" si="71"/>
        <v>0</v>
      </c>
    </row>
    <row r="175" spans="1:23" s="16" customFormat="1" ht="13.2" hidden="1" outlineLevel="3" x14ac:dyDescent="0.3">
      <c r="A175" s="20" t="s">
        <v>18</v>
      </c>
      <c r="B175" s="87" t="str">
        <f t="shared" si="73"/>
        <v>14.06</v>
      </c>
      <c r="C175" s="195" t="s">
        <v>20</v>
      </c>
      <c r="D175" s="195" t="s">
        <v>54</v>
      </c>
      <c r="E175" s="33"/>
      <c r="F175" s="33"/>
      <c r="G175" s="34"/>
      <c r="H175" s="180"/>
      <c r="I175" s="60"/>
      <c r="J175" s="174"/>
      <c r="K175" s="171"/>
      <c r="L175" s="167"/>
      <c r="M175" s="198"/>
      <c r="N175" s="164"/>
      <c r="O175" s="247">
        <f t="shared" si="72"/>
        <v>0</v>
      </c>
      <c r="P175" s="139"/>
      <c r="Q175" s="143"/>
      <c r="R175" s="205" t="str">
        <f t="shared" si="63"/>
        <v>OK</v>
      </c>
      <c r="S175" s="250"/>
      <c r="T175" s="130"/>
      <c r="U175" s="131"/>
      <c r="V175" s="133">
        <f t="shared" si="71"/>
        <v>0</v>
      </c>
    </row>
    <row r="176" spans="1:23" s="16" customFormat="1" ht="13.2" hidden="1" outlineLevel="3" x14ac:dyDescent="0.3">
      <c r="A176" s="20" t="s">
        <v>18</v>
      </c>
      <c r="B176" s="87" t="str">
        <f t="shared" si="73"/>
        <v>14.07</v>
      </c>
      <c r="C176" s="195" t="s">
        <v>20</v>
      </c>
      <c r="D176" s="195" t="s">
        <v>54</v>
      </c>
      <c r="E176" s="33"/>
      <c r="F176" s="33"/>
      <c r="G176" s="34"/>
      <c r="H176" s="180"/>
      <c r="I176" s="60"/>
      <c r="J176" s="174"/>
      <c r="K176" s="171"/>
      <c r="L176" s="167"/>
      <c r="M176" s="198"/>
      <c r="N176" s="164"/>
      <c r="O176" s="247">
        <f t="shared" si="72"/>
        <v>0</v>
      </c>
      <c r="P176" s="139"/>
      <c r="Q176" s="143"/>
      <c r="R176" s="205" t="str">
        <f t="shared" si="63"/>
        <v>OK</v>
      </c>
      <c r="S176" s="250"/>
      <c r="T176" s="130"/>
      <c r="U176" s="131"/>
      <c r="V176" s="133">
        <f t="shared" si="71"/>
        <v>0</v>
      </c>
    </row>
    <row r="177" spans="1:23" s="16" customFormat="1" ht="13.2" hidden="1" outlineLevel="3" x14ac:dyDescent="0.3">
      <c r="A177" s="20" t="s">
        <v>18</v>
      </c>
      <c r="B177" s="87" t="str">
        <f t="shared" si="73"/>
        <v>14.08</v>
      </c>
      <c r="C177" s="195" t="s">
        <v>20</v>
      </c>
      <c r="D177" s="195" t="s">
        <v>54</v>
      </c>
      <c r="E177" s="33"/>
      <c r="F177" s="33"/>
      <c r="G177" s="34"/>
      <c r="H177" s="180"/>
      <c r="I177" s="60"/>
      <c r="J177" s="174"/>
      <c r="K177" s="171"/>
      <c r="L177" s="167"/>
      <c r="M177" s="198"/>
      <c r="N177" s="164"/>
      <c r="O177" s="247">
        <f t="shared" si="72"/>
        <v>0</v>
      </c>
      <c r="P177" s="139"/>
      <c r="Q177" s="143"/>
      <c r="R177" s="205" t="str">
        <f t="shared" si="63"/>
        <v>OK</v>
      </c>
      <c r="S177" s="250"/>
      <c r="T177" s="130"/>
      <c r="U177" s="131"/>
      <c r="V177" s="133">
        <f t="shared" si="71"/>
        <v>0</v>
      </c>
    </row>
    <row r="178" spans="1:23" s="16" customFormat="1" ht="13.2" hidden="1" outlineLevel="3" x14ac:dyDescent="0.3">
      <c r="A178" s="20" t="s">
        <v>18</v>
      </c>
      <c r="B178" s="87" t="str">
        <f t="shared" si="73"/>
        <v>14.09</v>
      </c>
      <c r="C178" s="195" t="s">
        <v>20</v>
      </c>
      <c r="D178" s="195" t="s">
        <v>54</v>
      </c>
      <c r="E178" s="33"/>
      <c r="F178" s="33"/>
      <c r="G178" s="34"/>
      <c r="H178" s="180"/>
      <c r="I178" s="60"/>
      <c r="J178" s="174"/>
      <c r="K178" s="171"/>
      <c r="L178" s="167"/>
      <c r="M178" s="198"/>
      <c r="N178" s="164"/>
      <c r="O178" s="247">
        <f t="shared" si="72"/>
        <v>0</v>
      </c>
      <c r="P178" s="139"/>
      <c r="Q178" s="144"/>
      <c r="R178" s="205" t="str">
        <f t="shared" si="63"/>
        <v>OK</v>
      </c>
      <c r="S178" s="250"/>
      <c r="T178" s="130"/>
      <c r="U178" s="131"/>
      <c r="V178" s="133">
        <f t="shared" si="71"/>
        <v>0</v>
      </c>
    </row>
    <row r="179" spans="1:23" s="16" customFormat="1" ht="13.8" hidden="1" outlineLevel="3" thickBot="1" x14ac:dyDescent="0.35">
      <c r="A179" s="22" t="s">
        <v>18</v>
      </c>
      <c r="B179" s="88" t="str">
        <f t="shared" si="73"/>
        <v>14.010</v>
      </c>
      <c r="C179" s="196" t="s">
        <v>20</v>
      </c>
      <c r="D179" s="196" t="s">
        <v>54</v>
      </c>
      <c r="E179" s="12"/>
      <c r="F179" s="12"/>
      <c r="G179" s="118"/>
      <c r="H179" s="181"/>
      <c r="I179" s="61"/>
      <c r="J179" s="175"/>
      <c r="K179" s="172"/>
      <c r="L179" s="168"/>
      <c r="M179" s="200"/>
      <c r="N179" s="165"/>
      <c r="O179" s="248">
        <f t="shared" si="72"/>
        <v>0</v>
      </c>
      <c r="P179" s="140"/>
      <c r="Q179" s="145"/>
      <c r="R179" s="205" t="str">
        <f t="shared" si="63"/>
        <v>OK</v>
      </c>
      <c r="S179" s="251"/>
      <c r="T179" s="135"/>
      <c r="U179" s="136"/>
      <c r="V179" s="134">
        <f t="shared" si="71"/>
        <v>0</v>
      </c>
    </row>
    <row r="180" spans="1:23" ht="13.8" hidden="1" outlineLevel="1" thickBot="1" x14ac:dyDescent="0.35">
      <c r="J180" s="3"/>
      <c r="K180" s="3"/>
      <c r="L180" s="3"/>
      <c r="M180" s="3"/>
      <c r="N180" s="3"/>
      <c r="O180" s="244"/>
      <c r="P180" s="3"/>
      <c r="R180" s="86"/>
      <c r="S180" s="3"/>
      <c r="V180" s="3"/>
      <c r="W180" s="3"/>
    </row>
    <row r="181" spans="1:23" ht="13.8" hidden="1" outlineLevel="1" thickBot="1" x14ac:dyDescent="0.35">
      <c r="A181" s="122" t="s">
        <v>137</v>
      </c>
      <c r="B181" s="123"/>
      <c r="C181" s="123"/>
      <c r="D181" s="128"/>
      <c r="E181" s="124"/>
      <c r="F181" s="124"/>
      <c r="G181" s="125"/>
      <c r="H181" s="177"/>
      <c r="I181" s="63"/>
      <c r="J181" s="11">
        <f t="shared" ref="J181:O181" si="74">SUM(J182:J191)</f>
        <v>0</v>
      </c>
      <c r="K181" s="10">
        <f t="shared" si="74"/>
        <v>0</v>
      </c>
      <c r="L181" s="10">
        <f t="shared" si="74"/>
        <v>0</v>
      </c>
      <c r="M181" s="10">
        <f t="shared" si="74"/>
        <v>0</v>
      </c>
      <c r="N181" s="10">
        <f t="shared" si="74"/>
        <v>0</v>
      </c>
      <c r="O181" s="10">
        <f t="shared" si="74"/>
        <v>0</v>
      </c>
      <c r="P181" s="28"/>
      <c r="Q181" s="141"/>
      <c r="S181" s="249"/>
      <c r="T181" s="63"/>
      <c r="U181" s="63"/>
      <c r="V181" s="63"/>
      <c r="W181" s="3"/>
    </row>
    <row r="182" spans="1:23" s="16" customFormat="1" ht="13.2" hidden="1" outlineLevel="3" x14ac:dyDescent="0.3">
      <c r="A182" s="62" t="s">
        <v>18</v>
      </c>
      <c r="B182" s="96" t="str">
        <f>CONCATENATE(MID(A181,2,3),"01")</f>
        <v>15.01</v>
      </c>
      <c r="C182" s="194" t="s">
        <v>20</v>
      </c>
      <c r="D182" s="194" t="s">
        <v>137</v>
      </c>
      <c r="E182" s="31"/>
      <c r="F182" s="31"/>
      <c r="G182" s="30"/>
      <c r="H182" s="182"/>
      <c r="I182" s="59"/>
      <c r="J182" s="173"/>
      <c r="K182" s="170"/>
      <c r="L182" s="166"/>
      <c r="M182" s="197"/>
      <c r="N182" s="163"/>
      <c r="O182" s="246">
        <f>+SUM(J182:N182)</f>
        <v>0</v>
      </c>
      <c r="P182" s="138"/>
      <c r="Q182" s="142"/>
      <c r="R182" s="205" t="str">
        <f t="shared" ref="R182" si="75">+IF(O182=V182,"OK","MAL")</f>
        <v>OK</v>
      </c>
      <c r="S182" s="250"/>
      <c r="T182" s="130"/>
      <c r="U182" s="131"/>
      <c r="V182" s="132">
        <f t="shared" ref="V182:V191" si="76">+T182*U182</f>
        <v>0</v>
      </c>
    </row>
    <row r="183" spans="1:23" s="16" customFormat="1" ht="13.2" hidden="1" outlineLevel="3" x14ac:dyDescent="0.3">
      <c r="A183" s="20" t="s">
        <v>18</v>
      </c>
      <c r="B183" s="87" t="str">
        <f>LEFT(B182,4)&amp;TEXT(RIGHT(B182,2)+1,"0")</f>
        <v>15.02</v>
      </c>
      <c r="C183" s="195" t="s">
        <v>20</v>
      </c>
      <c r="D183" s="195" t="s">
        <v>137</v>
      </c>
      <c r="E183" s="33"/>
      <c r="F183" s="33"/>
      <c r="G183" s="34"/>
      <c r="H183" s="180"/>
      <c r="I183" s="60"/>
      <c r="J183" s="174"/>
      <c r="K183" s="171"/>
      <c r="L183" s="167"/>
      <c r="M183" s="198"/>
      <c r="N183" s="164"/>
      <c r="O183" s="247">
        <f t="shared" ref="O183:O191" si="77">+SUM(J183:N183)</f>
        <v>0</v>
      </c>
      <c r="P183" s="139"/>
      <c r="Q183" s="143"/>
      <c r="R183" s="205" t="str">
        <f t="shared" si="63"/>
        <v>OK</v>
      </c>
      <c r="S183" s="250"/>
      <c r="T183" s="130"/>
      <c r="U183" s="131"/>
      <c r="V183" s="133">
        <f t="shared" si="76"/>
        <v>0</v>
      </c>
    </row>
    <row r="184" spans="1:23" s="16" customFormat="1" ht="13.2" hidden="1" outlineLevel="3" x14ac:dyDescent="0.3">
      <c r="A184" s="20" t="s">
        <v>18</v>
      </c>
      <c r="B184" s="87" t="str">
        <f t="shared" ref="B184:B191" si="78">LEFT(B183,4)&amp;TEXT(RIGHT(B183,2)+1,"0")</f>
        <v>15.03</v>
      </c>
      <c r="C184" s="195" t="s">
        <v>20</v>
      </c>
      <c r="D184" s="195" t="s">
        <v>137</v>
      </c>
      <c r="E184" s="33"/>
      <c r="F184" s="33"/>
      <c r="G184" s="34"/>
      <c r="H184" s="180"/>
      <c r="I184" s="60"/>
      <c r="J184" s="174"/>
      <c r="K184" s="171"/>
      <c r="L184" s="167"/>
      <c r="M184" s="198"/>
      <c r="N184" s="164"/>
      <c r="O184" s="247">
        <f t="shared" si="77"/>
        <v>0</v>
      </c>
      <c r="P184" s="139"/>
      <c r="Q184" s="143"/>
      <c r="R184" s="205" t="str">
        <f t="shared" si="63"/>
        <v>OK</v>
      </c>
      <c r="S184" s="250"/>
      <c r="T184" s="130"/>
      <c r="U184" s="131"/>
      <c r="V184" s="133">
        <f t="shared" si="76"/>
        <v>0</v>
      </c>
    </row>
    <row r="185" spans="1:23" s="16" customFormat="1" ht="13.2" hidden="1" outlineLevel="3" x14ac:dyDescent="0.3">
      <c r="A185" s="20" t="s">
        <v>18</v>
      </c>
      <c r="B185" s="87" t="str">
        <f t="shared" si="78"/>
        <v>15.04</v>
      </c>
      <c r="C185" s="195" t="s">
        <v>20</v>
      </c>
      <c r="D185" s="195" t="s">
        <v>137</v>
      </c>
      <c r="E185" s="33"/>
      <c r="F185" s="33"/>
      <c r="G185" s="34"/>
      <c r="H185" s="180"/>
      <c r="I185" s="60"/>
      <c r="J185" s="174"/>
      <c r="K185" s="171"/>
      <c r="L185" s="167"/>
      <c r="M185" s="199"/>
      <c r="N185" s="164"/>
      <c r="O185" s="247">
        <f t="shared" si="77"/>
        <v>0</v>
      </c>
      <c r="P185" s="139"/>
      <c r="Q185" s="143"/>
      <c r="R185" s="205" t="str">
        <f t="shared" si="63"/>
        <v>OK</v>
      </c>
      <c r="S185" s="250"/>
      <c r="T185" s="130"/>
      <c r="U185" s="131"/>
      <c r="V185" s="133">
        <f t="shared" si="76"/>
        <v>0</v>
      </c>
    </row>
    <row r="186" spans="1:23" s="16" customFormat="1" ht="13.2" hidden="1" outlineLevel="3" x14ac:dyDescent="0.3">
      <c r="A186" s="20" t="s">
        <v>18</v>
      </c>
      <c r="B186" s="87" t="str">
        <f t="shared" si="78"/>
        <v>15.05</v>
      </c>
      <c r="C186" s="195" t="s">
        <v>20</v>
      </c>
      <c r="D186" s="195" t="s">
        <v>137</v>
      </c>
      <c r="E186" s="33"/>
      <c r="F186" s="33"/>
      <c r="G186" s="34"/>
      <c r="H186" s="180"/>
      <c r="I186" s="60"/>
      <c r="J186" s="174"/>
      <c r="K186" s="171"/>
      <c r="L186" s="167"/>
      <c r="M186" s="198"/>
      <c r="N186" s="164"/>
      <c r="O186" s="247">
        <f t="shared" si="77"/>
        <v>0</v>
      </c>
      <c r="P186" s="139"/>
      <c r="Q186" s="143"/>
      <c r="R186" s="205" t="str">
        <f t="shared" si="63"/>
        <v>OK</v>
      </c>
      <c r="S186" s="250"/>
      <c r="T186" s="130"/>
      <c r="U186" s="131"/>
      <c r="V186" s="133">
        <f t="shared" si="76"/>
        <v>0</v>
      </c>
    </row>
    <row r="187" spans="1:23" s="16" customFormat="1" ht="13.2" hidden="1" outlineLevel="3" x14ac:dyDescent="0.3">
      <c r="A187" s="20" t="s">
        <v>18</v>
      </c>
      <c r="B187" s="87" t="str">
        <f t="shared" si="78"/>
        <v>15.06</v>
      </c>
      <c r="C187" s="195" t="s">
        <v>20</v>
      </c>
      <c r="D187" s="195" t="s">
        <v>137</v>
      </c>
      <c r="E187" s="33"/>
      <c r="F187" s="33"/>
      <c r="G187" s="34"/>
      <c r="H187" s="180"/>
      <c r="I187" s="60"/>
      <c r="J187" s="174"/>
      <c r="K187" s="171"/>
      <c r="L187" s="167"/>
      <c r="M187" s="198"/>
      <c r="N187" s="164"/>
      <c r="O187" s="247">
        <f t="shared" si="77"/>
        <v>0</v>
      </c>
      <c r="P187" s="139"/>
      <c r="Q187" s="143"/>
      <c r="R187" s="205" t="str">
        <f t="shared" si="63"/>
        <v>OK</v>
      </c>
      <c r="S187" s="250"/>
      <c r="T187" s="130"/>
      <c r="U187" s="131"/>
      <c r="V187" s="133">
        <f t="shared" si="76"/>
        <v>0</v>
      </c>
    </row>
    <row r="188" spans="1:23" s="16" customFormat="1" ht="13.2" hidden="1" outlineLevel="3" x14ac:dyDescent="0.3">
      <c r="A188" s="20" t="s">
        <v>18</v>
      </c>
      <c r="B188" s="87" t="str">
        <f t="shared" si="78"/>
        <v>15.07</v>
      </c>
      <c r="C188" s="195" t="s">
        <v>20</v>
      </c>
      <c r="D188" s="195" t="s">
        <v>137</v>
      </c>
      <c r="E188" s="33"/>
      <c r="F188" s="33"/>
      <c r="G188" s="34"/>
      <c r="H188" s="180"/>
      <c r="I188" s="60"/>
      <c r="J188" s="174"/>
      <c r="K188" s="171"/>
      <c r="L188" s="167"/>
      <c r="M188" s="198"/>
      <c r="N188" s="164"/>
      <c r="O188" s="247">
        <f t="shared" si="77"/>
        <v>0</v>
      </c>
      <c r="P188" s="139"/>
      <c r="Q188" s="143"/>
      <c r="R188" s="205" t="str">
        <f t="shared" si="63"/>
        <v>OK</v>
      </c>
      <c r="S188" s="250"/>
      <c r="T188" s="130"/>
      <c r="U188" s="131"/>
      <c r="V188" s="133">
        <f t="shared" si="76"/>
        <v>0</v>
      </c>
    </row>
    <row r="189" spans="1:23" s="16" customFormat="1" ht="13.2" hidden="1" outlineLevel="3" x14ac:dyDescent="0.3">
      <c r="A189" s="20" t="s">
        <v>18</v>
      </c>
      <c r="B189" s="87" t="str">
        <f t="shared" si="78"/>
        <v>15.08</v>
      </c>
      <c r="C189" s="195" t="s">
        <v>20</v>
      </c>
      <c r="D189" s="195" t="s">
        <v>137</v>
      </c>
      <c r="E189" s="33"/>
      <c r="F189" s="33"/>
      <c r="G189" s="34"/>
      <c r="H189" s="180"/>
      <c r="I189" s="60"/>
      <c r="J189" s="174"/>
      <c r="K189" s="171"/>
      <c r="L189" s="167"/>
      <c r="M189" s="198"/>
      <c r="N189" s="164"/>
      <c r="O189" s="247">
        <f t="shared" si="77"/>
        <v>0</v>
      </c>
      <c r="P189" s="139"/>
      <c r="Q189" s="143"/>
      <c r="R189" s="205" t="str">
        <f t="shared" si="63"/>
        <v>OK</v>
      </c>
      <c r="S189" s="250"/>
      <c r="T189" s="130"/>
      <c r="U189" s="131"/>
      <c r="V189" s="133">
        <f t="shared" si="76"/>
        <v>0</v>
      </c>
    </row>
    <row r="190" spans="1:23" s="16" customFormat="1" ht="13.2" hidden="1" outlineLevel="3" x14ac:dyDescent="0.3">
      <c r="A190" s="20" t="s">
        <v>18</v>
      </c>
      <c r="B190" s="87" t="str">
        <f t="shared" si="78"/>
        <v>15.09</v>
      </c>
      <c r="C190" s="195" t="s">
        <v>20</v>
      </c>
      <c r="D190" s="195" t="s">
        <v>137</v>
      </c>
      <c r="E190" s="33"/>
      <c r="F190" s="33"/>
      <c r="G190" s="34"/>
      <c r="H190" s="180"/>
      <c r="I190" s="60"/>
      <c r="J190" s="174"/>
      <c r="K190" s="171"/>
      <c r="L190" s="167"/>
      <c r="M190" s="198"/>
      <c r="N190" s="164"/>
      <c r="O190" s="247">
        <f t="shared" si="77"/>
        <v>0</v>
      </c>
      <c r="P190" s="139"/>
      <c r="Q190" s="144"/>
      <c r="R190" s="205" t="str">
        <f t="shared" si="63"/>
        <v>OK</v>
      </c>
      <c r="S190" s="250"/>
      <c r="T190" s="130"/>
      <c r="U190" s="131"/>
      <c r="V190" s="133">
        <f t="shared" si="76"/>
        <v>0</v>
      </c>
    </row>
    <row r="191" spans="1:23" s="16" customFormat="1" ht="13.8" hidden="1" outlineLevel="3" thickBot="1" x14ac:dyDescent="0.35">
      <c r="A191" s="22" t="s">
        <v>18</v>
      </c>
      <c r="B191" s="88" t="str">
        <f t="shared" si="78"/>
        <v>15.010</v>
      </c>
      <c r="C191" s="196" t="s">
        <v>20</v>
      </c>
      <c r="D191" s="196" t="s">
        <v>137</v>
      </c>
      <c r="E191" s="12"/>
      <c r="F191" s="12"/>
      <c r="G191" s="118"/>
      <c r="H191" s="181"/>
      <c r="I191" s="61"/>
      <c r="J191" s="175"/>
      <c r="K191" s="172"/>
      <c r="L191" s="168"/>
      <c r="M191" s="200"/>
      <c r="N191" s="165"/>
      <c r="O191" s="248">
        <f t="shared" si="77"/>
        <v>0</v>
      </c>
      <c r="P191" s="140"/>
      <c r="Q191" s="145"/>
      <c r="R191" s="205" t="str">
        <f t="shared" si="63"/>
        <v>OK</v>
      </c>
      <c r="S191" s="251"/>
      <c r="T191" s="135"/>
      <c r="U191" s="136"/>
      <c r="V191" s="134">
        <f t="shared" si="76"/>
        <v>0</v>
      </c>
    </row>
    <row r="192" spans="1:23" ht="13.8" thickBot="1" x14ac:dyDescent="0.35">
      <c r="J192" s="3"/>
      <c r="K192" s="3"/>
      <c r="L192" s="3"/>
      <c r="M192" s="3"/>
      <c r="N192" s="3"/>
      <c r="O192" s="244"/>
      <c r="Q192" s="7"/>
      <c r="R192" s="86"/>
      <c r="S192" s="7"/>
      <c r="V192" s="7"/>
      <c r="W192" s="3"/>
    </row>
    <row r="193" spans="1:23" s="78" customFormat="1" ht="13.8" collapsed="1" thickBot="1" x14ac:dyDescent="0.3">
      <c r="A193" s="75" t="s">
        <v>250</v>
      </c>
      <c r="B193" s="76"/>
      <c r="C193" s="76"/>
      <c r="D193" s="127"/>
      <c r="E193" s="76"/>
      <c r="F193" s="76"/>
      <c r="G193" s="76"/>
      <c r="H193" s="176"/>
      <c r="I193" s="76"/>
      <c r="J193" s="149">
        <f>+J194</f>
        <v>0</v>
      </c>
      <c r="K193" s="149">
        <f t="shared" ref="K193:O193" si="79">+K194</f>
        <v>0</v>
      </c>
      <c r="L193" s="149">
        <f t="shared" si="79"/>
        <v>0</v>
      </c>
      <c r="M193" s="149">
        <f t="shared" si="79"/>
        <v>0</v>
      </c>
      <c r="N193" s="149">
        <f t="shared" si="79"/>
        <v>0</v>
      </c>
      <c r="O193" s="149">
        <f t="shared" si="79"/>
        <v>0</v>
      </c>
      <c r="P193" s="76"/>
      <c r="Q193" s="77"/>
      <c r="R193" s="204"/>
      <c r="S193" s="75"/>
      <c r="T193" s="76"/>
      <c r="U193" s="76"/>
      <c r="V193" s="77"/>
    </row>
    <row r="194" spans="1:23" ht="13.8" hidden="1" outlineLevel="1" thickBot="1" x14ac:dyDescent="0.35">
      <c r="A194" s="129" t="s">
        <v>250</v>
      </c>
      <c r="B194" s="18"/>
      <c r="C194" s="18"/>
      <c r="D194" s="39"/>
      <c r="E194" s="17"/>
      <c r="F194" s="17"/>
      <c r="G194" s="19"/>
      <c r="H194" s="178"/>
      <c r="I194" s="9"/>
      <c r="J194" s="26">
        <f t="shared" ref="J194:O194" si="80">SUM(J195:J204)</f>
        <v>0</v>
      </c>
      <c r="K194" s="27">
        <f t="shared" si="80"/>
        <v>0</v>
      </c>
      <c r="L194" s="28">
        <f t="shared" si="80"/>
        <v>0</v>
      </c>
      <c r="M194" s="28">
        <f t="shared" si="80"/>
        <v>0</v>
      </c>
      <c r="N194" s="28">
        <f t="shared" si="80"/>
        <v>0</v>
      </c>
      <c r="O194" s="28">
        <f t="shared" si="80"/>
        <v>0</v>
      </c>
      <c r="P194" s="28"/>
      <c r="Q194" s="147"/>
      <c r="S194" s="249"/>
      <c r="T194" s="63"/>
      <c r="U194" s="63"/>
      <c r="V194" s="63"/>
      <c r="W194" s="3"/>
    </row>
    <row r="195" spans="1:23" s="16" customFormat="1" ht="13.2" hidden="1" outlineLevel="3" x14ac:dyDescent="0.3">
      <c r="A195" s="62" t="s">
        <v>26</v>
      </c>
      <c r="B195" s="96" t="s">
        <v>19</v>
      </c>
      <c r="C195" s="194" t="s">
        <v>34</v>
      </c>
      <c r="D195" s="194" t="s">
        <v>34</v>
      </c>
      <c r="E195" s="31"/>
      <c r="F195" s="31" t="s">
        <v>12</v>
      </c>
      <c r="G195" s="30"/>
      <c r="H195" s="31" t="s">
        <v>12</v>
      </c>
      <c r="I195" s="59"/>
      <c r="J195" s="57"/>
      <c r="K195" s="29"/>
      <c r="L195" s="32"/>
      <c r="M195" s="197"/>
      <c r="N195" s="37"/>
      <c r="O195" s="246">
        <f>+SUM(J195:N195)</f>
        <v>0</v>
      </c>
      <c r="P195" s="117" t="s">
        <v>12</v>
      </c>
      <c r="Q195" s="117" t="s">
        <v>12</v>
      </c>
      <c r="R195" s="205" t="str">
        <f t="shared" ref="R195:R204" si="81">+IF(O195=V195,"OK","MAL")</f>
        <v>OK</v>
      </c>
      <c r="S195" s="250"/>
      <c r="T195" s="130"/>
      <c r="U195" s="131"/>
      <c r="V195" s="132">
        <f t="shared" ref="V195:V204" si="82">+T195*U195</f>
        <v>0</v>
      </c>
    </row>
    <row r="196" spans="1:23" s="16" customFormat="1" ht="13.2" hidden="1" outlineLevel="3" x14ac:dyDescent="0.3">
      <c r="A196" s="20" t="s">
        <v>26</v>
      </c>
      <c r="B196" s="87" t="str">
        <f>LEFT(B195,4)&amp;TEXT(RIGHT(B195,2)+1,"0")</f>
        <v>01.02</v>
      </c>
      <c r="C196" s="195" t="s">
        <v>34</v>
      </c>
      <c r="D196" s="195" t="s">
        <v>34</v>
      </c>
      <c r="E196" s="33"/>
      <c r="F196" s="33" t="s">
        <v>12</v>
      </c>
      <c r="G196" s="34"/>
      <c r="H196" s="33" t="s">
        <v>12</v>
      </c>
      <c r="I196" s="60"/>
      <c r="J196" s="58"/>
      <c r="K196" s="35"/>
      <c r="L196" s="36"/>
      <c r="M196" s="198"/>
      <c r="N196" s="38"/>
      <c r="O196" s="247">
        <f t="shared" ref="O196:O204" si="83">+SUM(J196:N196)</f>
        <v>0</v>
      </c>
      <c r="P196" s="21" t="s">
        <v>12</v>
      </c>
      <c r="Q196" s="21" t="s">
        <v>12</v>
      </c>
      <c r="R196" s="205" t="str">
        <f t="shared" si="81"/>
        <v>OK</v>
      </c>
      <c r="S196" s="250"/>
      <c r="T196" s="130"/>
      <c r="U196" s="131"/>
      <c r="V196" s="133">
        <f t="shared" si="82"/>
        <v>0</v>
      </c>
    </row>
    <row r="197" spans="1:23" s="16" customFormat="1" ht="13.2" hidden="1" outlineLevel="3" x14ac:dyDescent="0.3">
      <c r="A197" s="20" t="s">
        <v>26</v>
      </c>
      <c r="B197" s="87" t="str">
        <f t="shared" ref="B197:B204" si="84">LEFT(B196,4)&amp;TEXT(RIGHT(B196,2)+1,"0")</f>
        <v>01.03</v>
      </c>
      <c r="C197" s="195" t="s">
        <v>34</v>
      </c>
      <c r="D197" s="195" t="s">
        <v>34</v>
      </c>
      <c r="E197" s="33"/>
      <c r="F197" s="33" t="s">
        <v>12</v>
      </c>
      <c r="G197" s="34"/>
      <c r="H197" s="33" t="s">
        <v>12</v>
      </c>
      <c r="I197" s="60"/>
      <c r="J197" s="58"/>
      <c r="K197" s="35"/>
      <c r="L197" s="36"/>
      <c r="M197" s="198"/>
      <c r="N197" s="38"/>
      <c r="O197" s="247">
        <f t="shared" si="83"/>
        <v>0</v>
      </c>
      <c r="P197" s="21" t="s">
        <v>12</v>
      </c>
      <c r="Q197" s="21" t="s">
        <v>12</v>
      </c>
      <c r="R197" s="205" t="str">
        <f t="shared" si="81"/>
        <v>OK</v>
      </c>
      <c r="S197" s="250"/>
      <c r="T197" s="130"/>
      <c r="U197" s="131"/>
      <c r="V197" s="133">
        <f t="shared" si="82"/>
        <v>0</v>
      </c>
    </row>
    <row r="198" spans="1:23" s="16" customFormat="1" ht="13.2" hidden="1" outlineLevel="3" x14ac:dyDescent="0.3">
      <c r="A198" s="20" t="s">
        <v>26</v>
      </c>
      <c r="B198" s="87" t="str">
        <f t="shared" si="84"/>
        <v>01.04</v>
      </c>
      <c r="C198" s="195" t="s">
        <v>34</v>
      </c>
      <c r="D198" s="195" t="s">
        <v>34</v>
      </c>
      <c r="E198" s="33"/>
      <c r="F198" s="33" t="s">
        <v>12</v>
      </c>
      <c r="G198" s="34"/>
      <c r="H198" s="33" t="s">
        <v>12</v>
      </c>
      <c r="I198" s="60"/>
      <c r="J198" s="58"/>
      <c r="K198" s="35"/>
      <c r="L198" s="36"/>
      <c r="M198" s="199"/>
      <c r="N198" s="38"/>
      <c r="O198" s="247">
        <f t="shared" si="83"/>
        <v>0</v>
      </c>
      <c r="P198" s="21" t="s">
        <v>12</v>
      </c>
      <c r="Q198" s="21" t="s">
        <v>12</v>
      </c>
      <c r="R198" s="205" t="str">
        <f t="shared" si="81"/>
        <v>OK</v>
      </c>
      <c r="S198" s="250"/>
      <c r="T198" s="130"/>
      <c r="U198" s="131"/>
      <c r="V198" s="133">
        <f t="shared" si="82"/>
        <v>0</v>
      </c>
    </row>
    <row r="199" spans="1:23" s="16" customFormat="1" ht="13.2" hidden="1" outlineLevel="3" x14ac:dyDescent="0.3">
      <c r="A199" s="20" t="s">
        <v>26</v>
      </c>
      <c r="B199" s="87" t="str">
        <f t="shared" si="84"/>
        <v>01.05</v>
      </c>
      <c r="C199" s="195" t="s">
        <v>34</v>
      </c>
      <c r="D199" s="195" t="s">
        <v>34</v>
      </c>
      <c r="E199" s="33"/>
      <c r="F199" s="33" t="s">
        <v>12</v>
      </c>
      <c r="G199" s="34"/>
      <c r="H199" s="33" t="s">
        <v>12</v>
      </c>
      <c r="I199" s="60"/>
      <c r="J199" s="58"/>
      <c r="K199" s="35"/>
      <c r="L199" s="36"/>
      <c r="M199" s="198"/>
      <c r="N199" s="38"/>
      <c r="O199" s="247">
        <f t="shared" si="83"/>
        <v>0</v>
      </c>
      <c r="P199" s="21" t="s">
        <v>12</v>
      </c>
      <c r="Q199" s="21" t="s">
        <v>12</v>
      </c>
      <c r="R199" s="205" t="str">
        <f t="shared" si="81"/>
        <v>OK</v>
      </c>
      <c r="S199" s="250"/>
      <c r="T199" s="130"/>
      <c r="U199" s="131"/>
      <c r="V199" s="133">
        <f t="shared" si="82"/>
        <v>0</v>
      </c>
    </row>
    <row r="200" spans="1:23" s="16" customFormat="1" ht="13.2" hidden="1" outlineLevel="3" x14ac:dyDescent="0.3">
      <c r="A200" s="20" t="s">
        <v>26</v>
      </c>
      <c r="B200" s="87" t="str">
        <f t="shared" si="84"/>
        <v>01.06</v>
      </c>
      <c r="C200" s="195" t="s">
        <v>34</v>
      </c>
      <c r="D200" s="195" t="s">
        <v>34</v>
      </c>
      <c r="E200" s="33"/>
      <c r="F200" s="33" t="s">
        <v>12</v>
      </c>
      <c r="G200" s="34"/>
      <c r="H200" s="33" t="s">
        <v>12</v>
      </c>
      <c r="I200" s="60"/>
      <c r="J200" s="58"/>
      <c r="K200" s="35"/>
      <c r="L200" s="36"/>
      <c r="M200" s="198"/>
      <c r="N200" s="38"/>
      <c r="O200" s="247">
        <f t="shared" si="83"/>
        <v>0</v>
      </c>
      <c r="P200" s="21" t="s">
        <v>12</v>
      </c>
      <c r="Q200" s="21" t="s">
        <v>12</v>
      </c>
      <c r="R200" s="205" t="str">
        <f t="shared" si="81"/>
        <v>OK</v>
      </c>
      <c r="S200" s="250"/>
      <c r="T200" s="130"/>
      <c r="U200" s="131"/>
      <c r="V200" s="133">
        <f t="shared" si="82"/>
        <v>0</v>
      </c>
    </row>
    <row r="201" spans="1:23" s="16" customFormat="1" ht="13.2" hidden="1" outlineLevel="3" x14ac:dyDescent="0.3">
      <c r="A201" s="20" t="s">
        <v>26</v>
      </c>
      <c r="B201" s="87" t="str">
        <f t="shared" si="84"/>
        <v>01.07</v>
      </c>
      <c r="C201" s="195" t="s">
        <v>34</v>
      </c>
      <c r="D201" s="195" t="s">
        <v>34</v>
      </c>
      <c r="E201" s="33"/>
      <c r="F201" s="33" t="s">
        <v>12</v>
      </c>
      <c r="G201" s="34"/>
      <c r="H201" s="33" t="s">
        <v>12</v>
      </c>
      <c r="I201" s="60"/>
      <c r="J201" s="58"/>
      <c r="K201" s="35"/>
      <c r="L201" s="36"/>
      <c r="M201" s="198"/>
      <c r="N201" s="38"/>
      <c r="O201" s="247">
        <f t="shared" si="83"/>
        <v>0</v>
      </c>
      <c r="P201" s="21" t="s">
        <v>12</v>
      </c>
      <c r="Q201" s="21" t="s">
        <v>12</v>
      </c>
      <c r="R201" s="205" t="str">
        <f t="shared" si="81"/>
        <v>OK</v>
      </c>
      <c r="S201" s="250"/>
      <c r="T201" s="130"/>
      <c r="U201" s="131"/>
      <c r="V201" s="133">
        <f t="shared" si="82"/>
        <v>0</v>
      </c>
    </row>
    <row r="202" spans="1:23" s="16" customFormat="1" ht="13.2" hidden="1" outlineLevel="3" x14ac:dyDescent="0.3">
      <c r="A202" s="20" t="s">
        <v>26</v>
      </c>
      <c r="B202" s="87" t="str">
        <f t="shared" si="84"/>
        <v>01.08</v>
      </c>
      <c r="C202" s="195" t="s">
        <v>34</v>
      </c>
      <c r="D202" s="195" t="s">
        <v>34</v>
      </c>
      <c r="E202" s="33"/>
      <c r="F202" s="33" t="s">
        <v>12</v>
      </c>
      <c r="G202" s="34"/>
      <c r="H202" s="33" t="s">
        <v>12</v>
      </c>
      <c r="I202" s="60"/>
      <c r="J202" s="58"/>
      <c r="K202" s="35"/>
      <c r="L202" s="36"/>
      <c r="M202" s="198"/>
      <c r="N202" s="38"/>
      <c r="O202" s="247">
        <f t="shared" si="83"/>
        <v>0</v>
      </c>
      <c r="P202" s="21" t="s">
        <v>12</v>
      </c>
      <c r="Q202" s="21" t="s">
        <v>12</v>
      </c>
      <c r="R202" s="205" t="str">
        <f t="shared" si="81"/>
        <v>OK</v>
      </c>
      <c r="S202" s="250"/>
      <c r="T202" s="130"/>
      <c r="U202" s="131"/>
      <c r="V202" s="133">
        <f t="shared" si="82"/>
        <v>0</v>
      </c>
    </row>
    <row r="203" spans="1:23" s="16" customFormat="1" ht="13.2" hidden="1" outlineLevel="3" x14ac:dyDescent="0.3">
      <c r="A203" s="20" t="s">
        <v>26</v>
      </c>
      <c r="B203" s="87" t="str">
        <f t="shared" si="84"/>
        <v>01.09</v>
      </c>
      <c r="C203" s="195" t="s">
        <v>34</v>
      </c>
      <c r="D203" s="195" t="s">
        <v>34</v>
      </c>
      <c r="E203" s="33"/>
      <c r="F203" s="33" t="s">
        <v>12</v>
      </c>
      <c r="G203" s="34"/>
      <c r="H203" s="33" t="s">
        <v>12</v>
      </c>
      <c r="I203" s="60"/>
      <c r="J203" s="58"/>
      <c r="K203" s="35"/>
      <c r="L203" s="36"/>
      <c r="M203" s="198"/>
      <c r="N203" s="38"/>
      <c r="O203" s="247">
        <f t="shared" si="83"/>
        <v>0</v>
      </c>
      <c r="P203" s="21" t="s">
        <v>12</v>
      </c>
      <c r="Q203" s="21" t="s">
        <v>12</v>
      </c>
      <c r="R203" s="205" t="str">
        <f t="shared" si="81"/>
        <v>OK</v>
      </c>
      <c r="S203" s="250"/>
      <c r="T203" s="130"/>
      <c r="U203" s="131"/>
      <c r="V203" s="133">
        <f t="shared" si="82"/>
        <v>0</v>
      </c>
    </row>
    <row r="204" spans="1:23" s="16" customFormat="1" ht="13.8" hidden="1" outlineLevel="3" thickBot="1" x14ac:dyDescent="0.35">
      <c r="A204" s="22" t="s">
        <v>26</v>
      </c>
      <c r="B204" s="88" t="str">
        <f t="shared" si="84"/>
        <v>01.010</v>
      </c>
      <c r="C204" s="196" t="s">
        <v>34</v>
      </c>
      <c r="D204" s="196" t="s">
        <v>34</v>
      </c>
      <c r="E204" s="12"/>
      <c r="F204" s="12" t="s">
        <v>12</v>
      </c>
      <c r="G204" s="118"/>
      <c r="H204" s="12" t="s">
        <v>12</v>
      </c>
      <c r="I204" s="61"/>
      <c r="J204" s="119"/>
      <c r="K204" s="13"/>
      <c r="L204" s="14"/>
      <c r="M204" s="200"/>
      <c r="N204" s="120"/>
      <c r="O204" s="248">
        <f t="shared" si="83"/>
        <v>0</v>
      </c>
      <c r="P204" s="121" t="s">
        <v>12</v>
      </c>
      <c r="Q204" s="121" t="s">
        <v>12</v>
      </c>
      <c r="R204" s="205" t="str">
        <f t="shared" si="81"/>
        <v>OK</v>
      </c>
      <c r="S204" s="251"/>
      <c r="T204" s="135"/>
      <c r="U204" s="136"/>
      <c r="V204" s="134">
        <f t="shared" si="82"/>
        <v>0</v>
      </c>
    </row>
    <row r="205" spans="1:23" ht="13.8" thickBot="1" x14ac:dyDescent="0.35">
      <c r="E205" s="25"/>
      <c r="H205" s="183"/>
      <c r="S205" s="2"/>
      <c r="V205" s="2"/>
      <c r="W205" s="3"/>
    </row>
    <row r="206" spans="1:23" s="78" customFormat="1" ht="13.8" collapsed="1" thickBot="1" x14ac:dyDescent="0.3">
      <c r="A206" s="75" t="s">
        <v>251</v>
      </c>
      <c r="B206" s="76"/>
      <c r="C206" s="76"/>
      <c r="D206" s="127"/>
      <c r="E206" s="76"/>
      <c r="F206" s="76"/>
      <c r="G206" s="76"/>
      <c r="H206" s="176"/>
      <c r="I206" s="76"/>
      <c r="J206" s="149">
        <f>+J207</f>
        <v>0</v>
      </c>
      <c r="K206" s="149">
        <f t="shared" ref="K206:O206" si="85">+K207</f>
        <v>0</v>
      </c>
      <c r="L206" s="149">
        <f t="shared" si="85"/>
        <v>0</v>
      </c>
      <c r="M206" s="149">
        <f t="shared" si="85"/>
        <v>0</v>
      </c>
      <c r="N206" s="149">
        <f t="shared" si="85"/>
        <v>0</v>
      </c>
      <c r="O206" s="149">
        <f t="shared" si="85"/>
        <v>0</v>
      </c>
      <c r="P206" s="76"/>
      <c r="Q206" s="77"/>
      <c r="R206" s="204"/>
      <c r="S206" s="75"/>
      <c r="T206" s="76"/>
      <c r="U206" s="76"/>
      <c r="V206" s="77"/>
    </row>
    <row r="207" spans="1:23" ht="13.8" hidden="1" outlineLevel="1" thickBot="1" x14ac:dyDescent="0.35">
      <c r="A207" s="129" t="s">
        <v>251</v>
      </c>
      <c r="B207" s="18"/>
      <c r="C207" s="18"/>
      <c r="D207" s="39"/>
      <c r="E207" s="17"/>
      <c r="F207" s="17"/>
      <c r="G207" s="19"/>
      <c r="H207" s="178"/>
      <c r="I207" s="9"/>
      <c r="J207" s="11">
        <f t="shared" ref="J207:O207" si="86">SUM(J208:J217)</f>
        <v>0</v>
      </c>
      <c r="K207" s="10">
        <f t="shared" si="86"/>
        <v>0</v>
      </c>
      <c r="L207" s="10">
        <f t="shared" si="86"/>
        <v>0</v>
      </c>
      <c r="M207" s="10">
        <f t="shared" si="86"/>
        <v>0</v>
      </c>
      <c r="N207" s="10">
        <f t="shared" si="86"/>
        <v>0</v>
      </c>
      <c r="O207" s="10">
        <f t="shared" si="86"/>
        <v>0</v>
      </c>
      <c r="P207" s="28"/>
      <c r="Q207" s="147"/>
      <c r="S207" s="249"/>
      <c r="T207" s="63"/>
      <c r="U207" s="63"/>
      <c r="V207" s="63"/>
      <c r="W207" s="3"/>
    </row>
    <row r="208" spans="1:23" s="16" customFormat="1" ht="13.2" hidden="1" outlineLevel="3" x14ac:dyDescent="0.3">
      <c r="A208" s="62" t="s">
        <v>27</v>
      </c>
      <c r="B208" s="96" t="s">
        <v>19</v>
      </c>
      <c r="C208" s="194" t="s">
        <v>35</v>
      </c>
      <c r="D208" s="194" t="s">
        <v>28</v>
      </c>
      <c r="E208" s="31"/>
      <c r="F208" s="31" t="s">
        <v>12</v>
      </c>
      <c r="G208" s="30"/>
      <c r="H208" s="31" t="s">
        <v>12</v>
      </c>
      <c r="I208" s="59"/>
      <c r="J208" s="173"/>
      <c r="K208" s="170"/>
      <c r="L208" s="166"/>
      <c r="M208" s="197"/>
      <c r="N208" s="163"/>
      <c r="O208" s="246">
        <f>+SUM(J208:N208)</f>
        <v>0</v>
      </c>
      <c r="P208" s="117" t="s">
        <v>12</v>
      </c>
      <c r="Q208" s="117" t="s">
        <v>12</v>
      </c>
      <c r="R208" s="205" t="str">
        <f t="shared" ref="R208:R217" si="87">+IF(O208=V208,"OK","MAL")</f>
        <v>OK</v>
      </c>
      <c r="S208" s="250"/>
      <c r="T208" s="130"/>
      <c r="U208" s="131"/>
      <c r="V208" s="132">
        <f t="shared" ref="V208:V217" si="88">+T208*U208</f>
        <v>0</v>
      </c>
    </row>
    <row r="209" spans="1:23" s="16" customFormat="1" ht="13.2" hidden="1" outlineLevel="3" x14ac:dyDescent="0.3">
      <c r="A209" s="20" t="s">
        <v>27</v>
      </c>
      <c r="B209" s="87" t="str">
        <f>LEFT(B208,4)&amp;TEXT(RIGHT(B208,2)+1,"0")</f>
        <v>01.02</v>
      </c>
      <c r="C209" s="195" t="s">
        <v>35</v>
      </c>
      <c r="D209" s="195" t="s">
        <v>28</v>
      </c>
      <c r="E209" s="33"/>
      <c r="F209" s="33" t="s">
        <v>12</v>
      </c>
      <c r="G209" s="34"/>
      <c r="H209" s="33" t="s">
        <v>12</v>
      </c>
      <c r="I209" s="60"/>
      <c r="J209" s="174"/>
      <c r="K209" s="171"/>
      <c r="L209" s="167"/>
      <c r="M209" s="198"/>
      <c r="N209" s="164"/>
      <c r="O209" s="247">
        <f t="shared" ref="O209:O217" si="89">+SUM(J209:N209)</f>
        <v>0</v>
      </c>
      <c r="P209" s="21" t="s">
        <v>12</v>
      </c>
      <c r="Q209" s="21" t="s">
        <v>12</v>
      </c>
      <c r="R209" s="205" t="str">
        <f t="shared" si="87"/>
        <v>OK</v>
      </c>
      <c r="S209" s="250"/>
      <c r="T209" s="130"/>
      <c r="U209" s="131"/>
      <c r="V209" s="133">
        <f t="shared" si="88"/>
        <v>0</v>
      </c>
    </row>
    <row r="210" spans="1:23" s="16" customFormat="1" ht="13.2" hidden="1" outlineLevel="3" x14ac:dyDescent="0.3">
      <c r="A210" s="20" t="s">
        <v>27</v>
      </c>
      <c r="B210" s="87" t="str">
        <f t="shared" ref="B210:B217" si="90">LEFT(B209,4)&amp;TEXT(RIGHT(B209,2)+1,"0")</f>
        <v>01.03</v>
      </c>
      <c r="C210" s="195" t="s">
        <v>35</v>
      </c>
      <c r="D210" s="195" t="s">
        <v>28</v>
      </c>
      <c r="E210" s="33"/>
      <c r="F210" s="33" t="s">
        <v>12</v>
      </c>
      <c r="G210" s="34"/>
      <c r="H210" s="33" t="s">
        <v>12</v>
      </c>
      <c r="I210" s="60"/>
      <c r="J210" s="174"/>
      <c r="K210" s="171"/>
      <c r="L210" s="167"/>
      <c r="M210" s="198"/>
      <c r="N210" s="164"/>
      <c r="O210" s="247">
        <f t="shared" si="89"/>
        <v>0</v>
      </c>
      <c r="P210" s="21" t="s">
        <v>12</v>
      </c>
      <c r="Q210" s="21" t="s">
        <v>12</v>
      </c>
      <c r="R210" s="205" t="str">
        <f t="shared" si="87"/>
        <v>OK</v>
      </c>
      <c r="S210" s="250"/>
      <c r="T210" s="130"/>
      <c r="U210" s="131"/>
      <c r="V210" s="133">
        <f t="shared" si="88"/>
        <v>0</v>
      </c>
    </row>
    <row r="211" spans="1:23" s="16" customFormat="1" ht="13.2" hidden="1" outlineLevel="3" x14ac:dyDescent="0.3">
      <c r="A211" s="20" t="s">
        <v>27</v>
      </c>
      <c r="B211" s="87" t="str">
        <f t="shared" si="90"/>
        <v>01.04</v>
      </c>
      <c r="C211" s="195" t="s">
        <v>35</v>
      </c>
      <c r="D211" s="195" t="s">
        <v>28</v>
      </c>
      <c r="E211" s="33"/>
      <c r="F211" s="33" t="s">
        <v>12</v>
      </c>
      <c r="G211" s="34"/>
      <c r="H211" s="33" t="s">
        <v>12</v>
      </c>
      <c r="I211" s="60"/>
      <c r="J211" s="174"/>
      <c r="K211" s="171"/>
      <c r="L211" s="167"/>
      <c r="M211" s="199"/>
      <c r="N211" s="164"/>
      <c r="O211" s="247">
        <f t="shared" si="89"/>
        <v>0</v>
      </c>
      <c r="P211" s="21" t="s">
        <v>12</v>
      </c>
      <c r="Q211" s="21" t="s">
        <v>12</v>
      </c>
      <c r="R211" s="205" t="str">
        <f t="shared" si="87"/>
        <v>OK</v>
      </c>
      <c r="S211" s="250"/>
      <c r="T211" s="130"/>
      <c r="U211" s="131"/>
      <c r="V211" s="133">
        <f t="shared" si="88"/>
        <v>0</v>
      </c>
    </row>
    <row r="212" spans="1:23" s="16" customFormat="1" ht="13.2" hidden="1" outlineLevel="3" x14ac:dyDescent="0.3">
      <c r="A212" s="20" t="s">
        <v>27</v>
      </c>
      <c r="B212" s="87" t="str">
        <f t="shared" si="90"/>
        <v>01.05</v>
      </c>
      <c r="C212" s="195" t="s">
        <v>35</v>
      </c>
      <c r="D212" s="195" t="s">
        <v>28</v>
      </c>
      <c r="E212" s="33"/>
      <c r="F212" s="33" t="s">
        <v>12</v>
      </c>
      <c r="G212" s="34"/>
      <c r="H212" s="33" t="s">
        <v>12</v>
      </c>
      <c r="I212" s="60"/>
      <c r="J212" s="174"/>
      <c r="K212" s="171"/>
      <c r="L212" s="167"/>
      <c r="M212" s="198"/>
      <c r="N212" s="164"/>
      <c r="O212" s="247">
        <f t="shared" si="89"/>
        <v>0</v>
      </c>
      <c r="P212" s="21" t="s">
        <v>12</v>
      </c>
      <c r="Q212" s="21" t="s">
        <v>12</v>
      </c>
      <c r="R212" s="205" t="str">
        <f t="shared" si="87"/>
        <v>OK</v>
      </c>
      <c r="S212" s="250"/>
      <c r="T212" s="130"/>
      <c r="U212" s="131"/>
      <c r="V212" s="133">
        <f t="shared" si="88"/>
        <v>0</v>
      </c>
    </row>
    <row r="213" spans="1:23" s="16" customFormat="1" ht="13.2" hidden="1" outlineLevel="3" x14ac:dyDescent="0.3">
      <c r="A213" s="20" t="s">
        <v>27</v>
      </c>
      <c r="B213" s="87" t="str">
        <f t="shared" si="90"/>
        <v>01.06</v>
      </c>
      <c r="C213" s="195" t="s">
        <v>35</v>
      </c>
      <c r="D213" s="195" t="s">
        <v>28</v>
      </c>
      <c r="E213" s="33"/>
      <c r="F213" s="33" t="s">
        <v>12</v>
      </c>
      <c r="G213" s="34"/>
      <c r="H213" s="33" t="s">
        <v>12</v>
      </c>
      <c r="I213" s="60"/>
      <c r="J213" s="174"/>
      <c r="K213" s="171"/>
      <c r="L213" s="167"/>
      <c r="M213" s="198"/>
      <c r="N213" s="164"/>
      <c r="O213" s="247">
        <f t="shared" si="89"/>
        <v>0</v>
      </c>
      <c r="P213" s="21" t="s">
        <v>12</v>
      </c>
      <c r="Q213" s="21" t="s">
        <v>12</v>
      </c>
      <c r="R213" s="205" t="str">
        <f t="shared" si="87"/>
        <v>OK</v>
      </c>
      <c r="S213" s="250"/>
      <c r="T213" s="130"/>
      <c r="U213" s="131"/>
      <c r="V213" s="133">
        <f t="shared" si="88"/>
        <v>0</v>
      </c>
    </row>
    <row r="214" spans="1:23" s="16" customFormat="1" ht="13.2" hidden="1" outlineLevel="3" x14ac:dyDescent="0.3">
      <c r="A214" s="20" t="s">
        <v>27</v>
      </c>
      <c r="B214" s="87" t="str">
        <f t="shared" si="90"/>
        <v>01.07</v>
      </c>
      <c r="C214" s="195" t="s">
        <v>35</v>
      </c>
      <c r="D214" s="195" t="s">
        <v>28</v>
      </c>
      <c r="E214" s="33"/>
      <c r="F214" s="33" t="s">
        <v>12</v>
      </c>
      <c r="G214" s="34"/>
      <c r="H214" s="33" t="s">
        <v>12</v>
      </c>
      <c r="I214" s="60"/>
      <c r="J214" s="174"/>
      <c r="K214" s="171"/>
      <c r="L214" s="167"/>
      <c r="M214" s="198"/>
      <c r="N214" s="164"/>
      <c r="O214" s="247">
        <f t="shared" si="89"/>
        <v>0</v>
      </c>
      <c r="P214" s="21" t="s">
        <v>12</v>
      </c>
      <c r="Q214" s="21" t="s">
        <v>12</v>
      </c>
      <c r="R214" s="205" t="str">
        <f t="shared" si="87"/>
        <v>OK</v>
      </c>
      <c r="S214" s="250"/>
      <c r="T214" s="130"/>
      <c r="U214" s="131"/>
      <c r="V214" s="133">
        <f t="shared" si="88"/>
        <v>0</v>
      </c>
    </row>
    <row r="215" spans="1:23" s="16" customFormat="1" ht="13.2" hidden="1" outlineLevel="3" x14ac:dyDescent="0.3">
      <c r="A215" s="20" t="s">
        <v>27</v>
      </c>
      <c r="B215" s="87" t="str">
        <f t="shared" si="90"/>
        <v>01.08</v>
      </c>
      <c r="C215" s="195" t="s">
        <v>35</v>
      </c>
      <c r="D215" s="195" t="s">
        <v>28</v>
      </c>
      <c r="E215" s="33"/>
      <c r="F215" s="33" t="s">
        <v>12</v>
      </c>
      <c r="G215" s="34"/>
      <c r="H215" s="33" t="s">
        <v>12</v>
      </c>
      <c r="I215" s="60"/>
      <c r="J215" s="174"/>
      <c r="K215" s="171"/>
      <c r="L215" s="167"/>
      <c r="M215" s="198"/>
      <c r="N215" s="164"/>
      <c r="O215" s="247">
        <f t="shared" si="89"/>
        <v>0</v>
      </c>
      <c r="P215" s="21" t="s">
        <v>12</v>
      </c>
      <c r="Q215" s="21" t="s">
        <v>12</v>
      </c>
      <c r="R215" s="205" t="str">
        <f t="shared" si="87"/>
        <v>OK</v>
      </c>
      <c r="S215" s="250"/>
      <c r="T215" s="130"/>
      <c r="U215" s="131"/>
      <c r="V215" s="133">
        <f t="shared" si="88"/>
        <v>0</v>
      </c>
    </row>
    <row r="216" spans="1:23" s="16" customFormat="1" ht="13.2" hidden="1" outlineLevel="3" x14ac:dyDescent="0.3">
      <c r="A216" s="20" t="s">
        <v>27</v>
      </c>
      <c r="B216" s="87" t="str">
        <f t="shared" si="90"/>
        <v>01.09</v>
      </c>
      <c r="C216" s="195" t="s">
        <v>35</v>
      </c>
      <c r="D216" s="195" t="s">
        <v>28</v>
      </c>
      <c r="E216" s="33"/>
      <c r="F216" s="33" t="s">
        <v>12</v>
      </c>
      <c r="G216" s="34"/>
      <c r="H216" s="33" t="s">
        <v>12</v>
      </c>
      <c r="I216" s="60"/>
      <c r="J216" s="174"/>
      <c r="K216" s="171"/>
      <c r="L216" s="167"/>
      <c r="M216" s="198"/>
      <c r="N216" s="164"/>
      <c r="O216" s="247">
        <f t="shared" si="89"/>
        <v>0</v>
      </c>
      <c r="P216" s="21" t="s">
        <v>12</v>
      </c>
      <c r="Q216" s="21" t="s">
        <v>12</v>
      </c>
      <c r="R216" s="205" t="str">
        <f t="shared" si="87"/>
        <v>OK</v>
      </c>
      <c r="S216" s="250"/>
      <c r="T216" s="130"/>
      <c r="U216" s="131"/>
      <c r="V216" s="133">
        <f t="shared" si="88"/>
        <v>0</v>
      </c>
    </row>
    <row r="217" spans="1:23" s="16" customFormat="1" ht="13.8" hidden="1" outlineLevel="3" thickBot="1" x14ac:dyDescent="0.35">
      <c r="A217" s="22" t="s">
        <v>27</v>
      </c>
      <c r="B217" s="88" t="str">
        <f t="shared" si="90"/>
        <v>01.010</v>
      </c>
      <c r="C217" s="196" t="s">
        <v>35</v>
      </c>
      <c r="D217" s="196" t="s">
        <v>28</v>
      </c>
      <c r="E217" s="12"/>
      <c r="F217" s="12" t="s">
        <v>12</v>
      </c>
      <c r="G217" s="118"/>
      <c r="H217" s="12" t="s">
        <v>12</v>
      </c>
      <c r="I217" s="61"/>
      <c r="J217" s="175"/>
      <c r="K217" s="172"/>
      <c r="L217" s="168"/>
      <c r="M217" s="200"/>
      <c r="N217" s="165"/>
      <c r="O217" s="248">
        <f t="shared" si="89"/>
        <v>0</v>
      </c>
      <c r="P217" s="121" t="s">
        <v>12</v>
      </c>
      <c r="Q217" s="121" t="s">
        <v>12</v>
      </c>
      <c r="R217" s="205" t="str">
        <f t="shared" si="87"/>
        <v>OK</v>
      </c>
      <c r="S217" s="251"/>
      <c r="T217" s="135"/>
      <c r="U217" s="136"/>
      <c r="V217" s="134">
        <f t="shared" si="88"/>
        <v>0</v>
      </c>
    </row>
    <row r="218" spans="1:23" ht="13.8" thickBot="1" x14ac:dyDescent="0.35">
      <c r="E218" s="25"/>
      <c r="H218" s="183"/>
      <c r="J218" s="3"/>
      <c r="K218" s="3"/>
      <c r="L218" s="3"/>
      <c r="M218" s="3"/>
      <c r="N218" s="3"/>
      <c r="O218" s="244"/>
      <c r="S218" s="2"/>
      <c r="V218" s="2"/>
      <c r="W218" s="3"/>
    </row>
    <row r="219" spans="1:23" s="78" customFormat="1" ht="13.8" thickBot="1" x14ac:dyDescent="0.3">
      <c r="A219" s="75" t="s">
        <v>8</v>
      </c>
      <c r="B219" s="76"/>
      <c r="C219" s="76"/>
      <c r="D219" s="127"/>
      <c r="E219" s="76"/>
      <c r="F219" s="76"/>
      <c r="G219" s="76"/>
      <c r="H219" s="176"/>
      <c r="I219" s="76"/>
      <c r="J219" s="149">
        <f>+J220+J232+J244</f>
        <v>0</v>
      </c>
      <c r="K219" s="149">
        <f t="shared" ref="K219:N219" si="91">+K220+K232+K244</f>
        <v>0</v>
      </c>
      <c r="L219" s="149">
        <f t="shared" si="91"/>
        <v>0</v>
      </c>
      <c r="M219" s="149">
        <f t="shared" si="91"/>
        <v>0</v>
      </c>
      <c r="N219" s="149">
        <f t="shared" si="91"/>
        <v>0</v>
      </c>
      <c r="O219" s="149">
        <f t="shared" ref="O219" si="92">+O220+O232+O244</f>
        <v>0</v>
      </c>
      <c r="P219" s="76"/>
      <c r="Q219" s="77"/>
      <c r="R219" s="204"/>
      <c r="S219" s="75"/>
      <c r="T219" s="76"/>
      <c r="U219" s="76"/>
      <c r="V219" s="77"/>
    </row>
    <row r="220" spans="1:23" ht="13.8" outlineLevel="1" thickBot="1" x14ac:dyDescent="0.35">
      <c r="A220" s="122" t="s">
        <v>38</v>
      </c>
      <c r="B220" s="123"/>
      <c r="C220" s="123"/>
      <c r="D220" s="128"/>
      <c r="E220" s="124"/>
      <c r="F220" s="124"/>
      <c r="G220" s="125"/>
      <c r="H220" s="177"/>
      <c r="I220" s="63"/>
      <c r="J220" s="11">
        <f t="shared" ref="J220:O220" si="93">SUM(J221:J230)</f>
        <v>0</v>
      </c>
      <c r="K220" s="10">
        <f t="shared" si="93"/>
        <v>0</v>
      </c>
      <c r="L220" s="10">
        <f t="shared" si="93"/>
        <v>0</v>
      </c>
      <c r="M220" s="10">
        <f t="shared" si="93"/>
        <v>0</v>
      </c>
      <c r="N220" s="10">
        <f t="shared" si="93"/>
        <v>0</v>
      </c>
      <c r="O220" s="10">
        <f t="shared" si="93"/>
        <v>0</v>
      </c>
      <c r="P220" s="11"/>
      <c r="Q220" s="146"/>
      <c r="S220" s="249"/>
      <c r="T220" s="63"/>
      <c r="U220" s="63"/>
      <c r="V220" s="63"/>
      <c r="W220" s="3"/>
    </row>
    <row r="221" spans="1:23" s="16" customFormat="1" ht="26.4" outlineLevel="3" x14ac:dyDescent="0.3">
      <c r="A221" s="62" t="s">
        <v>25</v>
      </c>
      <c r="B221" s="96" t="str">
        <f>CONCATENATE(MID(A220,2,3),"01")</f>
        <v>01.01</v>
      </c>
      <c r="C221" s="194" t="s">
        <v>21</v>
      </c>
      <c r="D221" s="194" t="s">
        <v>38</v>
      </c>
      <c r="E221" s="31" t="s">
        <v>12</v>
      </c>
      <c r="F221" s="31" t="s">
        <v>12</v>
      </c>
      <c r="G221" s="320" t="s">
        <v>272</v>
      </c>
      <c r="H221" s="33" t="s">
        <v>12</v>
      </c>
      <c r="I221" s="60"/>
      <c r="J221" s="173">
        <f>+$T221*J$12</f>
        <v>0</v>
      </c>
      <c r="K221" s="170">
        <f>+$T221*K$12</f>
        <v>0</v>
      </c>
      <c r="L221" s="166">
        <f t="shared" ref="L221:N223" si="94">+$T221*L$12</f>
        <v>0</v>
      </c>
      <c r="M221" s="197">
        <f t="shared" si="94"/>
        <v>0</v>
      </c>
      <c r="N221" s="163">
        <f t="shared" si="94"/>
        <v>0</v>
      </c>
      <c r="O221" s="246">
        <f>+SUM(J221:N221)</f>
        <v>0</v>
      </c>
      <c r="P221" s="117" t="s">
        <v>12</v>
      </c>
      <c r="Q221" s="117" t="s">
        <v>12</v>
      </c>
      <c r="R221" s="205" t="str">
        <f t="shared" ref="R221:R230" si="95">+IF(O221=V221,"OK","MAL")</f>
        <v>OK</v>
      </c>
      <c r="S221" s="322" t="s">
        <v>278</v>
      </c>
      <c r="T221" s="323">
        <v>5.5E-2</v>
      </c>
      <c r="U221" s="131">
        <f>+$O$12</f>
        <v>0</v>
      </c>
      <c r="V221" s="132">
        <f t="shared" ref="V221:V230" si="96">+T221*U221</f>
        <v>0</v>
      </c>
    </row>
    <row r="222" spans="1:23" s="16" customFormat="1" ht="26.4" outlineLevel="3" x14ac:dyDescent="0.3">
      <c r="A222" s="20" t="s">
        <v>25</v>
      </c>
      <c r="B222" s="87" t="str">
        <f>LEFT(B221,4)&amp;TEXT(RIGHT(B221,2)+1,"0")</f>
        <v>01.02</v>
      </c>
      <c r="C222" s="195" t="s">
        <v>21</v>
      </c>
      <c r="D222" s="195" t="s">
        <v>38</v>
      </c>
      <c r="E222" s="33" t="s">
        <v>12</v>
      </c>
      <c r="F222" s="33" t="s">
        <v>12</v>
      </c>
      <c r="G222" s="321" t="s">
        <v>273</v>
      </c>
      <c r="H222" s="33" t="s">
        <v>12</v>
      </c>
      <c r="I222" s="60"/>
      <c r="J222" s="174">
        <f>+$T222*J$12</f>
        <v>0</v>
      </c>
      <c r="K222" s="171">
        <f t="shared" ref="K222:N223" si="97">+$T222*K$12</f>
        <v>0</v>
      </c>
      <c r="L222" s="167">
        <f t="shared" si="94"/>
        <v>0</v>
      </c>
      <c r="M222" s="198">
        <f t="shared" si="94"/>
        <v>0</v>
      </c>
      <c r="N222" s="164">
        <f t="shared" si="94"/>
        <v>0</v>
      </c>
      <c r="O222" s="247">
        <f t="shared" ref="O222:O230" si="98">+SUM(J222:N222)</f>
        <v>0</v>
      </c>
      <c r="P222" s="21" t="s">
        <v>12</v>
      </c>
      <c r="Q222" s="21" t="s">
        <v>12</v>
      </c>
      <c r="R222" s="205" t="str">
        <f t="shared" si="95"/>
        <v>OK</v>
      </c>
      <c r="S222" s="322" t="s">
        <v>278</v>
      </c>
      <c r="T222" s="323">
        <v>0.02</v>
      </c>
      <c r="U222" s="131">
        <f t="shared" ref="U222:U223" si="99">+$O$12</f>
        <v>0</v>
      </c>
      <c r="V222" s="133">
        <f t="shared" si="96"/>
        <v>0</v>
      </c>
    </row>
    <row r="223" spans="1:23" s="16" customFormat="1" ht="26.4" outlineLevel="3" x14ac:dyDescent="0.3">
      <c r="A223" s="20" t="s">
        <v>25</v>
      </c>
      <c r="B223" s="87" t="str">
        <f t="shared" ref="B223:B230" si="100">LEFT(B222,4)&amp;TEXT(RIGHT(B222,2)+1,"0")</f>
        <v>01.03</v>
      </c>
      <c r="C223" s="195" t="s">
        <v>21</v>
      </c>
      <c r="D223" s="195" t="s">
        <v>38</v>
      </c>
      <c r="E223" s="33" t="s">
        <v>12</v>
      </c>
      <c r="F223" s="33" t="s">
        <v>12</v>
      </c>
      <c r="G223" s="321" t="s">
        <v>9</v>
      </c>
      <c r="H223" s="33" t="s">
        <v>12</v>
      </c>
      <c r="I223" s="60"/>
      <c r="J223" s="174">
        <f t="shared" ref="J223:N223" si="101">+$T223*J$12</f>
        <v>0</v>
      </c>
      <c r="K223" s="171">
        <f t="shared" si="97"/>
        <v>0</v>
      </c>
      <c r="L223" s="167">
        <f t="shared" si="94"/>
        <v>0</v>
      </c>
      <c r="M223" s="198">
        <f t="shared" si="94"/>
        <v>0</v>
      </c>
      <c r="N223" s="164">
        <f t="shared" si="94"/>
        <v>0</v>
      </c>
      <c r="O223" s="247">
        <f t="shared" si="98"/>
        <v>0</v>
      </c>
      <c r="P223" s="21" t="s">
        <v>12</v>
      </c>
      <c r="Q223" s="21" t="s">
        <v>12</v>
      </c>
      <c r="R223" s="205" t="str">
        <f t="shared" si="95"/>
        <v>OK</v>
      </c>
      <c r="S223" s="322" t="s">
        <v>278</v>
      </c>
      <c r="T223" s="323">
        <v>5.5E-2</v>
      </c>
      <c r="U223" s="131">
        <f t="shared" si="99"/>
        <v>0</v>
      </c>
      <c r="V223" s="133">
        <f t="shared" si="96"/>
        <v>0</v>
      </c>
    </row>
    <row r="224" spans="1:23" s="16" customFormat="1" ht="13.2" outlineLevel="3" x14ac:dyDescent="0.3">
      <c r="A224" s="20" t="s">
        <v>25</v>
      </c>
      <c r="B224" s="87" t="str">
        <f t="shared" si="100"/>
        <v>01.04</v>
      </c>
      <c r="C224" s="195" t="s">
        <v>21</v>
      </c>
      <c r="D224" s="195" t="s">
        <v>38</v>
      </c>
      <c r="E224" s="33" t="s">
        <v>12</v>
      </c>
      <c r="F224" s="33" t="s">
        <v>12</v>
      </c>
      <c r="G224" s="321"/>
      <c r="H224" s="33" t="s">
        <v>12</v>
      </c>
      <c r="I224" s="60"/>
      <c r="J224" s="174"/>
      <c r="K224" s="171"/>
      <c r="L224" s="167"/>
      <c r="M224" s="199"/>
      <c r="N224" s="164"/>
      <c r="O224" s="247">
        <f t="shared" si="98"/>
        <v>0</v>
      </c>
      <c r="P224" s="21" t="s">
        <v>12</v>
      </c>
      <c r="Q224" s="21" t="s">
        <v>12</v>
      </c>
      <c r="R224" s="205" t="str">
        <f t="shared" si="95"/>
        <v>OK</v>
      </c>
      <c r="S224" s="250"/>
      <c r="T224" s="130"/>
      <c r="U224" s="131"/>
      <c r="V224" s="133">
        <f t="shared" si="96"/>
        <v>0</v>
      </c>
    </row>
    <row r="225" spans="1:23" s="16" customFormat="1" ht="13.2" outlineLevel="3" x14ac:dyDescent="0.3">
      <c r="A225" s="20" t="s">
        <v>25</v>
      </c>
      <c r="B225" s="87" t="str">
        <f t="shared" si="100"/>
        <v>01.05</v>
      </c>
      <c r="C225" s="195" t="s">
        <v>21</v>
      </c>
      <c r="D225" s="195" t="s">
        <v>38</v>
      </c>
      <c r="E225" s="33" t="s">
        <v>12</v>
      </c>
      <c r="F225" s="33" t="s">
        <v>12</v>
      </c>
      <c r="G225" s="321"/>
      <c r="H225" s="33" t="s">
        <v>12</v>
      </c>
      <c r="I225" s="60"/>
      <c r="J225" s="174"/>
      <c r="K225" s="171"/>
      <c r="L225" s="167"/>
      <c r="M225" s="198"/>
      <c r="N225" s="164"/>
      <c r="O225" s="247">
        <f t="shared" si="98"/>
        <v>0</v>
      </c>
      <c r="P225" s="21" t="s">
        <v>12</v>
      </c>
      <c r="Q225" s="21" t="s">
        <v>12</v>
      </c>
      <c r="R225" s="205" t="str">
        <f t="shared" si="95"/>
        <v>OK</v>
      </c>
      <c r="S225" s="250"/>
      <c r="T225" s="130"/>
      <c r="U225" s="131"/>
      <c r="V225" s="133">
        <f t="shared" si="96"/>
        <v>0</v>
      </c>
    </row>
    <row r="226" spans="1:23" s="16" customFormat="1" ht="13.2" outlineLevel="3" x14ac:dyDescent="0.3">
      <c r="A226" s="20" t="s">
        <v>25</v>
      </c>
      <c r="B226" s="87" t="str">
        <f t="shared" si="100"/>
        <v>01.06</v>
      </c>
      <c r="C226" s="195" t="s">
        <v>21</v>
      </c>
      <c r="D226" s="195" t="s">
        <v>38</v>
      </c>
      <c r="E226" s="33" t="s">
        <v>12</v>
      </c>
      <c r="F226" s="33" t="s">
        <v>12</v>
      </c>
      <c r="G226" s="321"/>
      <c r="H226" s="33" t="s">
        <v>12</v>
      </c>
      <c r="I226" s="60"/>
      <c r="J226" s="174"/>
      <c r="K226" s="171"/>
      <c r="L226" s="167"/>
      <c r="M226" s="198"/>
      <c r="N226" s="164"/>
      <c r="O226" s="247">
        <f t="shared" si="98"/>
        <v>0</v>
      </c>
      <c r="P226" s="21" t="s">
        <v>12</v>
      </c>
      <c r="Q226" s="21" t="s">
        <v>12</v>
      </c>
      <c r="R226" s="205" t="str">
        <f t="shared" si="95"/>
        <v>OK</v>
      </c>
      <c r="S226" s="250"/>
      <c r="T226" s="130"/>
      <c r="U226" s="131"/>
      <c r="V226" s="133">
        <f t="shared" si="96"/>
        <v>0</v>
      </c>
    </row>
    <row r="227" spans="1:23" s="16" customFormat="1" ht="13.2" outlineLevel="3" x14ac:dyDescent="0.3">
      <c r="A227" s="20" t="s">
        <v>25</v>
      </c>
      <c r="B227" s="87" t="str">
        <f t="shared" si="100"/>
        <v>01.07</v>
      </c>
      <c r="C227" s="195" t="s">
        <v>21</v>
      </c>
      <c r="D227" s="195" t="s">
        <v>38</v>
      </c>
      <c r="E227" s="33" t="s">
        <v>12</v>
      </c>
      <c r="F227" s="33" t="s">
        <v>12</v>
      </c>
      <c r="G227" s="321"/>
      <c r="H227" s="33" t="s">
        <v>12</v>
      </c>
      <c r="I227" s="60"/>
      <c r="J227" s="174"/>
      <c r="K227" s="171"/>
      <c r="L227" s="167"/>
      <c r="M227" s="198"/>
      <c r="N227" s="164"/>
      <c r="O227" s="247">
        <f t="shared" si="98"/>
        <v>0</v>
      </c>
      <c r="P227" s="21" t="s">
        <v>12</v>
      </c>
      <c r="Q227" s="21" t="s">
        <v>12</v>
      </c>
      <c r="R227" s="205" t="str">
        <f t="shared" si="95"/>
        <v>OK</v>
      </c>
      <c r="S227" s="250"/>
      <c r="T227" s="130"/>
      <c r="U227" s="131"/>
      <c r="V227" s="133">
        <f t="shared" si="96"/>
        <v>0</v>
      </c>
    </row>
    <row r="228" spans="1:23" s="16" customFormat="1" ht="13.2" outlineLevel="3" x14ac:dyDescent="0.3">
      <c r="A228" s="20" t="s">
        <v>25</v>
      </c>
      <c r="B228" s="87" t="str">
        <f t="shared" si="100"/>
        <v>01.08</v>
      </c>
      <c r="C228" s="195" t="s">
        <v>21</v>
      </c>
      <c r="D228" s="195" t="s">
        <v>38</v>
      </c>
      <c r="E228" s="33" t="s">
        <v>12</v>
      </c>
      <c r="F228" s="33" t="s">
        <v>12</v>
      </c>
      <c r="G228" s="34"/>
      <c r="H228" s="33" t="s">
        <v>12</v>
      </c>
      <c r="I228" s="60"/>
      <c r="J228" s="174"/>
      <c r="K228" s="171"/>
      <c r="L228" s="167"/>
      <c r="M228" s="198"/>
      <c r="N228" s="164"/>
      <c r="O228" s="247">
        <f t="shared" si="98"/>
        <v>0</v>
      </c>
      <c r="P228" s="21" t="s">
        <v>12</v>
      </c>
      <c r="Q228" s="21" t="s">
        <v>12</v>
      </c>
      <c r="R228" s="205" t="str">
        <f t="shared" si="95"/>
        <v>OK</v>
      </c>
      <c r="S228" s="250"/>
      <c r="T228" s="130"/>
      <c r="U228" s="131"/>
      <c r="V228" s="133">
        <f t="shared" si="96"/>
        <v>0</v>
      </c>
    </row>
    <row r="229" spans="1:23" s="16" customFormat="1" ht="13.2" outlineLevel="3" x14ac:dyDescent="0.3">
      <c r="A229" s="20" t="s">
        <v>25</v>
      </c>
      <c r="B229" s="87" t="str">
        <f t="shared" si="100"/>
        <v>01.09</v>
      </c>
      <c r="C229" s="195" t="s">
        <v>21</v>
      </c>
      <c r="D229" s="195" t="s">
        <v>38</v>
      </c>
      <c r="E229" s="33" t="s">
        <v>12</v>
      </c>
      <c r="F229" s="33" t="s">
        <v>12</v>
      </c>
      <c r="G229" s="34"/>
      <c r="H229" s="33" t="s">
        <v>12</v>
      </c>
      <c r="I229" s="60"/>
      <c r="J229" s="174"/>
      <c r="K229" s="171"/>
      <c r="L229" s="167"/>
      <c r="M229" s="198"/>
      <c r="N229" s="164"/>
      <c r="O229" s="247">
        <f t="shared" si="98"/>
        <v>0</v>
      </c>
      <c r="P229" s="21" t="s">
        <v>12</v>
      </c>
      <c r="Q229" s="21" t="s">
        <v>12</v>
      </c>
      <c r="R229" s="205" t="str">
        <f t="shared" si="95"/>
        <v>OK</v>
      </c>
      <c r="S229" s="250"/>
      <c r="T229" s="130"/>
      <c r="U229" s="131"/>
      <c r="V229" s="133">
        <f t="shared" si="96"/>
        <v>0</v>
      </c>
    </row>
    <row r="230" spans="1:23" s="16" customFormat="1" ht="13.8" outlineLevel="3" thickBot="1" x14ac:dyDescent="0.35">
      <c r="A230" s="22" t="s">
        <v>25</v>
      </c>
      <c r="B230" s="88" t="str">
        <f t="shared" si="100"/>
        <v>01.010</v>
      </c>
      <c r="C230" s="196" t="s">
        <v>21</v>
      </c>
      <c r="D230" s="196" t="s">
        <v>38</v>
      </c>
      <c r="E230" s="12" t="s">
        <v>12</v>
      </c>
      <c r="F230" s="12" t="s">
        <v>12</v>
      </c>
      <c r="G230" s="118"/>
      <c r="H230" s="12" t="s">
        <v>12</v>
      </c>
      <c r="I230" s="61"/>
      <c r="J230" s="175"/>
      <c r="K230" s="172"/>
      <c r="L230" s="168"/>
      <c r="M230" s="200"/>
      <c r="N230" s="165"/>
      <c r="O230" s="248">
        <f t="shared" si="98"/>
        <v>0</v>
      </c>
      <c r="P230" s="121" t="s">
        <v>12</v>
      </c>
      <c r="Q230" s="121" t="s">
        <v>12</v>
      </c>
      <c r="R230" s="205" t="str">
        <f t="shared" si="95"/>
        <v>OK</v>
      </c>
      <c r="S230" s="251"/>
      <c r="T230" s="135"/>
      <c r="U230" s="136"/>
      <c r="V230" s="134">
        <f t="shared" si="96"/>
        <v>0</v>
      </c>
    </row>
    <row r="231" spans="1:23" ht="13.8" outlineLevel="1" thickBot="1" x14ac:dyDescent="0.35">
      <c r="J231" s="3"/>
      <c r="K231" s="3"/>
      <c r="L231" s="3"/>
      <c r="M231" s="3"/>
      <c r="N231" s="3"/>
      <c r="O231" s="244"/>
      <c r="Q231" s="7"/>
      <c r="R231" s="86"/>
      <c r="S231" s="7"/>
      <c r="V231" s="7"/>
      <c r="W231" s="3"/>
    </row>
    <row r="232" spans="1:23" ht="13.8" outlineLevel="1" thickBot="1" x14ac:dyDescent="0.35">
      <c r="A232" s="122" t="s">
        <v>41</v>
      </c>
      <c r="B232" s="123"/>
      <c r="C232" s="123"/>
      <c r="D232" s="128"/>
      <c r="E232" s="124"/>
      <c r="F232" s="124"/>
      <c r="G232" s="125"/>
      <c r="H232" s="177"/>
      <c r="I232" s="63"/>
      <c r="J232" s="11">
        <f t="shared" ref="J232:O232" si="102">SUM(J233:J242)</f>
        <v>0</v>
      </c>
      <c r="K232" s="10">
        <f t="shared" si="102"/>
        <v>0</v>
      </c>
      <c r="L232" s="10">
        <f t="shared" si="102"/>
        <v>0</v>
      </c>
      <c r="M232" s="10">
        <f t="shared" si="102"/>
        <v>0</v>
      </c>
      <c r="N232" s="10">
        <f t="shared" si="102"/>
        <v>0</v>
      </c>
      <c r="O232" s="10">
        <f t="shared" si="102"/>
        <v>0</v>
      </c>
      <c r="P232" s="11"/>
      <c r="Q232" s="146"/>
      <c r="S232" s="249"/>
      <c r="T232" s="63"/>
      <c r="U232" s="63"/>
      <c r="V232" s="63"/>
      <c r="W232" s="3"/>
    </row>
    <row r="233" spans="1:23" s="16" customFormat="1" ht="26.4" outlineLevel="3" x14ac:dyDescent="0.3">
      <c r="A233" s="62" t="s">
        <v>25</v>
      </c>
      <c r="B233" s="96" t="str">
        <f>CONCATENATE(MID(A232,2,3),"01")</f>
        <v>02.01</v>
      </c>
      <c r="C233" s="194" t="s">
        <v>21</v>
      </c>
      <c r="D233" s="194" t="s">
        <v>41</v>
      </c>
      <c r="E233" s="31" t="s">
        <v>12</v>
      </c>
      <c r="F233" s="31" t="s">
        <v>12</v>
      </c>
      <c r="G233" s="321" t="s">
        <v>274</v>
      </c>
      <c r="H233" s="31" t="s">
        <v>12</v>
      </c>
      <c r="I233" s="59"/>
      <c r="J233" s="173">
        <f t="shared" ref="J233:N233" si="103">+$T233*J$12</f>
        <v>0</v>
      </c>
      <c r="K233" s="170">
        <f t="shared" si="103"/>
        <v>0</v>
      </c>
      <c r="L233" s="166">
        <f t="shared" si="103"/>
        <v>0</v>
      </c>
      <c r="M233" s="197">
        <f t="shared" si="103"/>
        <v>0</v>
      </c>
      <c r="N233" s="163">
        <f t="shared" si="103"/>
        <v>0</v>
      </c>
      <c r="O233" s="246">
        <f>+SUM(J233:N233)</f>
        <v>0</v>
      </c>
      <c r="P233" s="117" t="s">
        <v>12</v>
      </c>
      <c r="Q233" s="117" t="s">
        <v>12</v>
      </c>
      <c r="R233" s="205" t="str">
        <f t="shared" ref="R233:R242" si="104">+IF(O233=V233,"OK","MAL")</f>
        <v>OK</v>
      </c>
      <c r="S233" s="322" t="s">
        <v>278</v>
      </c>
      <c r="T233" s="323">
        <v>5.0000000000000001E-3</v>
      </c>
      <c r="U233" s="131">
        <f t="shared" ref="U233" si="105">+$O$12</f>
        <v>0</v>
      </c>
      <c r="V233" s="132">
        <f t="shared" ref="V233:V242" si="106">+T233*U233</f>
        <v>0</v>
      </c>
    </row>
    <row r="234" spans="1:23" s="16" customFormat="1" ht="13.2" outlineLevel="3" x14ac:dyDescent="0.3">
      <c r="A234" s="20" t="s">
        <v>25</v>
      </c>
      <c r="B234" s="87" t="str">
        <f>LEFT(B233,4)&amp;TEXT(RIGHT(B233,2)+1,"0")</f>
        <v>02.02</v>
      </c>
      <c r="C234" s="195" t="s">
        <v>21</v>
      </c>
      <c r="D234" s="195" t="s">
        <v>41</v>
      </c>
      <c r="E234" s="33" t="s">
        <v>12</v>
      </c>
      <c r="F234" s="33" t="s">
        <v>12</v>
      </c>
      <c r="G234" s="34"/>
      <c r="H234" s="33" t="s">
        <v>12</v>
      </c>
      <c r="I234" s="60"/>
      <c r="J234" s="174"/>
      <c r="K234" s="171"/>
      <c r="L234" s="167"/>
      <c r="M234" s="198"/>
      <c r="N234" s="164"/>
      <c r="O234" s="247">
        <f t="shared" ref="O234:O242" si="107">+SUM(J234:N234)</f>
        <v>0</v>
      </c>
      <c r="P234" s="21" t="s">
        <v>12</v>
      </c>
      <c r="Q234" s="21" t="s">
        <v>12</v>
      </c>
      <c r="R234" s="205" t="str">
        <f t="shared" si="104"/>
        <v>OK</v>
      </c>
      <c r="S234" s="250"/>
      <c r="T234" s="130"/>
      <c r="U234" s="131"/>
      <c r="V234" s="133">
        <f t="shared" si="106"/>
        <v>0</v>
      </c>
    </row>
    <row r="235" spans="1:23" s="16" customFormat="1" ht="13.2" outlineLevel="3" x14ac:dyDescent="0.3">
      <c r="A235" s="20" t="s">
        <v>25</v>
      </c>
      <c r="B235" s="87" t="str">
        <f t="shared" ref="B235:B242" si="108">LEFT(B234,4)&amp;TEXT(RIGHT(B234,2)+1,"0")</f>
        <v>02.03</v>
      </c>
      <c r="C235" s="195" t="s">
        <v>21</v>
      </c>
      <c r="D235" s="195" t="s">
        <v>41</v>
      </c>
      <c r="E235" s="33" t="s">
        <v>12</v>
      </c>
      <c r="F235" s="33" t="s">
        <v>12</v>
      </c>
      <c r="G235" s="34"/>
      <c r="H235" s="33" t="s">
        <v>12</v>
      </c>
      <c r="I235" s="60"/>
      <c r="J235" s="174"/>
      <c r="K235" s="171"/>
      <c r="L235" s="167"/>
      <c r="M235" s="198"/>
      <c r="N235" s="164"/>
      <c r="O235" s="247">
        <f t="shared" si="107"/>
        <v>0</v>
      </c>
      <c r="P235" s="21" t="s">
        <v>12</v>
      </c>
      <c r="Q235" s="21" t="s">
        <v>12</v>
      </c>
      <c r="R235" s="205" t="str">
        <f t="shared" si="104"/>
        <v>OK</v>
      </c>
      <c r="S235" s="250"/>
      <c r="T235" s="130"/>
      <c r="U235" s="131"/>
      <c r="V235" s="133">
        <f t="shared" si="106"/>
        <v>0</v>
      </c>
    </row>
    <row r="236" spans="1:23" s="16" customFormat="1" ht="13.2" outlineLevel="3" x14ac:dyDescent="0.3">
      <c r="A236" s="20" t="s">
        <v>25</v>
      </c>
      <c r="B236" s="87" t="str">
        <f t="shared" si="108"/>
        <v>02.04</v>
      </c>
      <c r="C236" s="195" t="s">
        <v>21</v>
      </c>
      <c r="D236" s="195" t="s">
        <v>41</v>
      </c>
      <c r="E236" s="33" t="s">
        <v>12</v>
      </c>
      <c r="F236" s="33" t="s">
        <v>12</v>
      </c>
      <c r="G236" s="34"/>
      <c r="H236" s="33" t="s">
        <v>12</v>
      </c>
      <c r="I236" s="60"/>
      <c r="J236" s="174"/>
      <c r="K236" s="171"/>
      <c r="L236" s="167"/>
      <c r="M236" s="199"/>
      <c r="N236" s="164"/>
      <c r="O236" s="247">
        <f t="shared" si="107"/>
        <v>0</v>
      </c>
      <c r="P236" s="21" t="s">
        <v>12</v>
      </c>
      <c r="Q236" s="21" t="s">
        <v>12</v>
      </c>
      <c r="R236" s="205" t="str">
        <f t="shared" si="104"/>
        <v>OK</v>
      </c>
      <c r="S236" s="250"/>
      <c r="T236" s="130"/>
      <c r="U236" s="131"/>
      <c r="V236" s="133">
        <f t="shared" si="106"/>
        <v>0</v>
      </c>
    </row>
    <row r="237" spans="1:23" s="16" customFormat="1" ht="13.2" outlineLevel="3" x14ac:dyDescent="0.3">
      <c r="A237" s="20" t="s">
        <v>25</v>
      </c>
      <c r="B237" s="87" t="str">
        <f t="shared" si="108"/>
        <v>02.05</v>
      </c>
      <c r="C237" s="195" t="s">
        <v>21</v>
      </c>
      <c r="D237" s="195" t="s">
        <v>41</v>
      </c>
      <c r="E237" s="33" t="s">
        <v>12</v>
      </c>
      <c r="F237" s="33" t="s">
        <v>12</v>
      </c>
      <c r="G237" s="34"/>
      <c r="H237" s="33" t="s">
        <v>12</v>
      </c>
      <c r="I237" s="60"/>
      <c r="J237" s="174"/>
      <c r="K237" s="171"/>
      <c r="L237" s="167"/>
      <c r="M237" s="198"/>
      <c r="N237" s="164"/>
      <c r="O237" s="247">
        <f t="shared" si="107"/>
        <v>0</v>
      </c>
      <c r="P237" s="21" t="s">
        <v>12</v>
      </c>
      <c r="Q237" s="21" t="s">
        <v>12</v>
      </c>
      <c r="R237" s="205" t="str">
        <f t="shared" si="104"/>
        <v>OK</v>
      </c>
      <c r="S237" s="250"/>
      <c r="T237" s="130"/>
      <c r="U237" s="131"/>
      <c r="V237" s="133">
        <f t="shared" si="106"/>
        <v>0</v>
      </c>
    </row>
    <row r="238" spans="1:23" s="16" customFormat="1" ht="13.2" outlineLevel="3" x14ac:dyDescent="0.3">
      <c r="A238" s="20" t="s">
        <v>25</v>
      </c>
      <c r="B238" s="87" t="str">
        <f t="shared" si="108"/>
        <v>02.06</v>
      </c>
      <c r="C238" s="195" t="s">
        <v>21</v>
      </c>
      <c r="D238" s="195" t="s">
        <v>41</v>
      </c>
      <c r="E238" s="33" t="s">
        <v>12</v>
      </c>
      <c r="F238" s="33" t="s">
        <v>12</v>
      </c>
      <c r="G238" s="34"/>
      <c r="H238" s="33" t="s">
        <v>12</v>
      </c>
      <c r="I238" s="60"/>
      <c r="J238" s="174"/>
      <c r="K238" s="171"/>
      <c r="L238" s="167"/>
      <c r="M238" s="198"/>
      <c r="N238" s="164"/>
      <c r="O238" s="247">
        <f t="shared" si="107"/>
        <v>0</v>
      </c>
      <c r="P238" s="21" t="s">
        <v>12</v>
      </c>
      <c r="Q238" s="21" t="s">
        <v>12</v>
      </c>
      <c r="R238" s="205" t="str">
        <f t="shared" si="104"/>
        <v>OK</v>
      </c>
      <c r="S238" s="250"/>
      <c r="T238" s="130"/>
      <c r="U238" s="131"/>
      <c r="V238" s="133">
        <f t="shared" si="106"/>
        <v>0</v>
      </c>
    </row>
    <row r="239" spans="1:23" s="16" customFormat="1" ht="13.2" outlineLevel="3" x14ac:dyDescent="0.3">
      <c r="A239" s="20" t="s">
        <v>25</v>
      </c>
      <c r="B239" s="87" t="str">
        <f t="shared" si="108"/>
        <v>02.07</v>
      </c>
      <c r="C239" s="195" t="s">
        <v>21</v>
      </c>
      <c r="D239" s="195" t="s">
        <v>41</v>
      </c>
      <c r="E239" s="33" t="s">
        <v>12</v>
      </c>
      <c r="F239" s="33" t="s">
        <v>12</v>
      </c>
      <c r="G239" s="34"/>
      <c r="H239" s="33" t="s">
        <v>12</v>
      </c>
      <c r="I239" s="60"/>
      <c r="J239" s="174"/>
      <c r="K239" s="171"/>
      <c r="L239" s="167"/>
      <c r="M239" s="198"/>
      <c r="N239" s="164"/>
      <c r="O239" s="247">
        <f t="shared" si="107"/>
        <v>0</v>
      </c>
      <c r="P239" s="21" t="s">
        <v>12</v>
      </c>
      <c r="Q239" s="21" t="s">
        <v>12</v>
      </c>
      <c r="R239" s="205" t="str">
        <f t="shared" si="104"/>
        <v>OK</v>
      </c>
      <c r="S239" s="250"/>
      <c r="T239" s="130"/>
      <c r="U239" s="131"/>
      <c r="V239" s="133">
        <f t="shared" si="106"/>
        <v>0</v>
      </c>
    </row>
    <row r="240" spans="1:23" s="16" customFormat="1" ht="13.2" outlineLevel="3" x14ac:dyDescent="0.3">
      <c r="A240" s="20" t="s">
        <v>25</v>
      </c>
      <c r="B240" s="87" t="str">
        <f t="shared" si="108"/>
        <v>02.08</v>
      </c>
      <c r="C240" s="195" t="s">
        <v>21</v>
      </c>
      <c r="D240" s="195" t="s">
        <v>41</v>
      </c>
      <c r="E240" s="33" t="s">
        <v>12</v>
      </c>
      <c r="F240" s="33" t="s">
        <v>12</v>
      </c>
      <c r="G240" s="34"/>
      <c r="H240" s="33" t="s">
        <v>12</v>
      </c>
      <c r="I240" s="60"/>
      <c r="J240" s="174"/>
      <c r="K240" s="171"/>
      <c r="L240" s="167"/>
      <c r="M240" s="198"/>
      <c r="N240" s="164"/>
      <c r="O240" s="247">
        <f t="shared" si="107"/>
        <v>0</v>
      </c>
      <c r="P240" s="21" t="s">
        <v>12</v>
      </c>
      <c r="Q240" s="21" t="s">
        <v>12</v>
      </c>
      <c r="R240" s="205" t="str">
        <f t="shared" si="104"/>
        <v>OK</v>
      </c>
      <c r="S240" s="250"/>
      <c r="T240" s="130"/>
      <c r="U240" s="131"/>
      <c r="V240" s="133">
        <f t="shared" si="106"/>
        <v>0</v>
      </c>
    </row>
    <row r="241" spans="1:23" s="16" customFormat="1" ht="13.2" outlineLevel="3" x14ac:dyDescent="0.3">
      <c r="A241" s="20" t="s">
        <v>25</v>
      </c>
      <c r="B241" s="87" t="str">
        <f t="shared" si="108"/>
        <v>02.09</v>
      </c>
      <c r="C241" s="195" t="s">
        <v>21</v>
      </c>
      <c r="D241" s="195" t="s">
        <v>41</v>
      </c>
      <c r="E241" s="33" t="s">
        <v>12</v>
      </c>
      <c r="F241" s="33" t="s">
        <v>12</v>
      </c>
      <c r="G241" s="34"/>
      <c r="H241" s="33" t="s">
        <v>12</v>
      </c>
      <c r="I241" s="60"/>
      <c r="J241" s="174"/>
      <c r="K241" s="171"/>
      <c r="L241" s="167"/>
      <c r="M241" s="198"/>
      <c r="N241" s="164"/>
      <c r="O241" s="247">
        <f t="shared" si="107"/>
        <v>0</v>
      </c>
      <c r="P241" s="21" t="s">
        <v>12</v>
      </c>
      <c r="Q241" s="21" t="s">
        <v>12</v>
      </c>
      <c r="R241" s="205" t="str">
        <f t="shared" si="104"/>
        <v>OK</v>
      </c>
      <c r="S241" s="250"/>
      <c r="T241" s="130"/>
      <c r="U241" s="131"/>
      <c r="V241" s="133">
        <f t="shared" si="106"/>
        <v>0</v>
      </c>
    </row>
    <row r="242" spans="1:23" s="16" customFormat="1" ht="13.8" outlineLevel="3" thickBot="1" x14ac:dyDescent="0.35">
      <c r="A242" s="22" t="s">
        <v>25</v>
      </c>
      <c r="B242" s="88" t="str">
        <f t="shared" si="108"/>
        <v>02.010</v>
      </c>
      <c r="C242" s="196" t="s">
        <v>21</v>
      </c>
      <c r="D242" s="196" t="s">
        <v>41</v>
      </c>
      <c r="E242" s="12" t="s">
        <v>12</v>
      </c>
      <c r="F242" s="12" t="s">
        <v>12</v>
      </c>
      <c r="G242" s="118"/>
      <c r="H242" s="12" t="s">
        <v>12</v>
      </c>
      <c r="I242" s="61"/>
      <c r="J242" s="175"/>
      <c r="K242" s="172"/>
      <c r="L242" s="168"/>
      <c r="M242" s="200"/>
      <c r="N242" s="165"/>
      <c r="O242" s="248">
        <f t="shared" si="107"/>
        <v>0</v>
      </c>
      <c r="P242" s="121" t="s">
        <v>12</v>
      </c>
      <c r="Q242" s="121" t="s">
        <v>12</v>
      </c>
      <c r="R242" s="205" t="str">
        <f t="shared" si="104"/>
        <v>OK</v>
      </c>
      <c r="S242" s="251"/>
      <c r="T242" s="135"/>
      <c r="U242" s="136"/>
      <c r="V242" s="134">
        <f t="shared" si="106"/>
        <v>0</v>
      </c>
    </row>
    <row r="243" spans="1:23" ht="13.8" outlineLevel="1" thickBot="1" x14ac:dyDescent="0.35">
      <c r="J243" s="3"/>
      <c r="K243" s="3"/>
      <c r="L243" s="3"/>
      <c r="M243" s="3"/>
      <c r="N243" s="3"/>
      <c r="O243" s="244"/>
      <c r="Q243" s="7"/>
      <c r="R243" s="86"/>
      <c r="S243" s="7"/>
      <c r="V243" s="7"/>
      <c r="W243" s="3"/>
    </row>
    <row r="244" spans="1:23" ht="13.8" outlineLevel="1" thickBot="1" x14ac:dyDescent="0.35">
      <c r="A244" s="122" t="s">
        <v>44</v>
      </c>
      <c r="B244" s="123"/>
      <c r="C244" s="123"/>
      <c r="D244" s="128"/>
      <c r="E244" s="124"/>
      <c r="F244" s="124"/>
      <c r="G244" s="125"/>
      <c r="H244" s="177"/>
      <c r="I244" s="63"/>
      <c r="J244" s="11">
        <f t="shared" ref="J244:O244" si="109">SUM(J255:J255)</f>
        <v>0</v>
      </c>
      <c r="K244" s="10">
        <f t="shared" si="109"/>
        <v>0</v>
      </c>
      <c r="L244" s="10">
        <f t="shared" si="109"/>
        <v>0</v>
      </c>
      <c r="M244" s="10">
        <f t="shared" si="109"/>
        <v>0</v>
      </c>
      <c r="N244" s="10">
        <f t="shared" si="109"/>
        <v>0</v>
      </c>
      <c r="O244" s="10">
        <f t="shared" si="109"/>
        <v>0</v>
      </c>
      <c r="P244" s="11"/>
      <c r="Q244" s="146"/>
      <c r="S244" s="249"/>
      <c r="T244" s="63"/>
      <c r="U244" s="63"/>
      <c r="V244" s="63"/>
      <c r="W244" s="3"/>
    </row>
    <row r="245" spans="1:23" s="16" customFormat="1" ht="26.4" outlineLevel="3" x14ac:dyDescent="0.3">
      <c r="A245" s="62" t="s">
        <v>25</v>
      </c>
      <c r="B245" s="96" t="str">
        <f>CONCATENATE(MID(A244,2,3),"01")</f>
        <v>03.01</v>
      </c>
      <c r="C245" s="194" t="s">
        <v>21</v>
      </c>
      <c r="D245" s="194" t="s">
        <v>44</v>
      </c>
      <c r="E245" s="31" t="s">
        <v>12</v>
      </c>
      <c r="F245" s="31" t="s">
        <v>12</v>
      </c>
      <c r="G245" s="321" t="s">
        <v>275</v>
      </c>
      <c r="H245" s="31" t="s">
        <v>12</v>
      </c>
      <c r="I245" s="59"/>
      <c r="J245" s="173">
        <f t="shared" ref="J245:N247" si="110">+$T245*J$12</f>
        <v>0</v>
      </c>
      <c r="K245" s="170">
        <f t="shared" si="110"/>
        <v>0</v>
      </c>
      <c r="L245" s="166">
        <f t="shared" si="110"/>
        <v>0</v>
      </c>
      <c r="M245" s="197">
        <f t="shared" si="110"/>
        <v>0</v>
      </c>
      <c r="N245" s="163">
        <f t="shared" si="110"/>
        <v>0</v>
      </c>
      <c r="O245" s="246">
        <f>+SUM(J245:N245)</f>
        <v>0</v>
      </c>
      <c r="P245" s="117" t="s">
        <v>12</v>
      </c>
      <c r="Q245" s="117" t="s">
        <v>12</v>
      </c>
      <c r="R245" s="205" t="str">
        <f t="shared" ref="R245:R254" si="111">+IF(O245=V245,"OK","MAL")</f>
        <v>OK</v>
      </c>
      <c r="S245" s="322" t="s">
        <v>278</v>
      </c>
      <c r="T245" s="323">
        <v>0.02</v>
      </c>
      <c r="U245" s="131">
        <f>+$O$12</f>
        <v>0</v>
      </c>
      <c r="V245" s="132">
        <f t="shared" ref="V245:V254" si="112">+T245*U245</f>
        <v>0</v>
      </c>
    </row>
    <row r="246" spans="1:23" s="16" customFormat="1" ht="26.4" outlineLevel="3" x14ac:dyDescent="0.3">
      <c r="A246" s="20" t="s">
        <v>25</v>
      </c>
      <c r="B246" s="87" t="str">
        <f>LEFT(B245,4)&amp;TEXT(RIGHT(B245,2)+1,"0")</f>
        <v>03.02</v>
      </c>
      <c r="C246" s="195" t="s">
        <v>21</v>
      </c>
      <c r="D246" s="195" t="s">
        <v>44</v>
      </c>
      <c r="E246" s="33" t="s">
        <v>12</v>
      </c>
      <c r="F246" s="33" t="s">
        <v>12</v>
      </c>
      <c r="G246" s="321" t="s">
        <v>276</v>
      </c>
      <c r="H246" s="33" t="s">
        <v>12</v>
      </c>
      <c r="I246" s="60"/>
      <c r="J246" s="174">
        <f t="shared" si="110"/>
        <v>0</v>
      </c>
      <c r="K246" s="171">
        <f t="shared" si="110"/>
        <v>0</v>
      </c>
      <c r="L246" s="167">
        <f t="shared" si="110"/>
        <v>0</v>
      </c>
      <c r="M246" s="198">
        <f t="shared" si="110"/>
        <v>0</v>
      </c>
      <c r="N246" s="164">
        <f t="shared" si="110"/>
        <v>0</v>
      </c>
      <c r="O246" s="247">
        <f t="shared" ref="O246:O254" si="113">+SUM(J246:N246)</f>
        <v>0</v>
      </c>
      <c r="P246" s="21" t="s">
        <v>12</v>
      </c>
      <c r="Q246" s="21" t="s">
        <v>12</v>
      </c>
      <c r="R246" s="205" t="str">
        <f t="shared" si="111"/>
        <v>OK</v>
      </c>
      <c r="S246" s="322" t="s">
        <v>278</v>
      </c>
      <c r="T246" s="323">
        <v>0.04</v>
      </c>
      <c r="U246" s="131">
        <f t="shared" ref="U245:U247" si="114">+$O$12</f>
        <v>0</v>
      </c>
      <c r="V246" s="133">
        <f t="shared" si="112"/>
        <v>0</v>
      </c>
    </row>
    <row r="247" spans="1:23" s="16" customFormat="1" ht="26.4" outlineLevel="3" x14ac:dyDescent="0.3">
      <c r="A247" s="20" t="s">
        <v>25</v>
      </c>
      <c r="B247" s="87" t="str">
        <f t="shared" ref="B247:B254" si="115">LEFT(B246,4)&amp;TEXT(RIGHT(B246,2)+1,"0")</f>
        <v>03.03</v>
      </c>
      <c r="C247" s="195" t="s">
        <v>21</v>
      </c>
      <c r="D247" s="195" t="s">
        <v>44</v>
      </c>
      <c r="E247" s="33" t="s">
        <v>12</v>
      </c>
      <c r="F247" s="33" t="s">
        <v>12</v>
      </c>
      <c r="G247" s="321" t="s">
        <v>277</v>
      </c>
      <c r="H247" s="33" t="s">
        <v>12</v>
      </c>
      <c r="I247" s="60"/>
      <c r="J247" s="174">
        <f t="shared" si="110"/>
        <v>0</v>
      </c>
      <c r="K247" s="171">
        <f t="shared" si="110"/>
        <v>0</v>
      </c>
      <c r="L247" s="167">
        <f t="shared" si="110"/>
        <v>0</v>
      </c>
      <c r="M247" s="198">
        <f t="shared" si="110"/>
        <v>0</v>
      </c>
      <c r="N247" s="164">
        <f t="shared" si="110"/>
        <v>0</v>
      </c>
      <c r="O247" s="247">
        <f t="shared" si="113"/>
        <v>0</v>
      </c>
      <c r="P247" s="21" t="s">
        <v>12</v>
      </c>
      <c r="Q247" s="21" t="s">
        <v>12</v>
      </c>
      <c r="R247" s="205" t="str">
        <f t="shared" si="111"/>
        <v>OK</v>
      </c>
      <c r="S247" s="322" t="s">
        <v>278</v>
      </c>
      <c r="T247" s="323">
        <v>5.0000000000000001E-3</v>
      </c>
      <c r="U247" s="131">
        <f t="shared" si="114"/>
        <v>0</v>
      </c>
      <c r="V247" s="133">
        <f t="shared" si="112"/>
        <v>0</v>
      </c>
    </row>
    <row r="248" spans="1:23" s="16" customFormat="1" ht="13.2" outlineLevel="3" x14ac:dyDescent="0.3">
      <c r="A248" s="20" t="s">
        <v>25</v>
      </c>
      <c r="B248" s="87" t="str">
        <f t="shared" si="115"/>
        <v>03.04</v>
      </c>
      <c r="C248" s="195" t="s">
        <v>21</v>
      </c>
      <c r="D248" s="195" t="s">
        <v>44</v>
      </c>
      <c r="E248" s="33" t="s">
        <v>12</v>
      </c>
      <c r="F248" s="33" t="s">
        <v>12</v>
      </c>
      <c r="G248" s="34"/>
      <c r="H248" s="33" t="s">
        <v>12</v>
      </c>
      <c r="I248" s="60"/>
      <c r="J248" s="174"/>
      <c r="K248" s="171"/>
      <c r="L248" s="167"/>
      <c r="M248" s="199"/>
      <c r="N248" s="164"/>
      <c r="O248" s="247">
        <f t="shared" si="113"/>
        <v>0</v>
      </c>
      <c r="P248" s="21" t="s">
        <v>12</v>
      </c>
      <c r="Q248" s="21" t="s">
        <v>12</v>
      </c>
      <c r="R248" s="205" t="str">
        <f t="shared" si="111"/>
        <v>OK</v>
      </c>
      <c r="S248" s="250"/>
      <c r="T248" s="130"/>
      <c r="U248" s="131"/>
      <c r="V248" s="133">
        <f t="shared" si="112"/>
        <v>0</v>
      </c>
    </row>
    <row r="249" spans="1:23" s="16" customFormat="1" ht="13.2" outlineLevel="3" x14ac:dyDescent="0.3">
      <c r="A249" s="20" t="s">
        <v>25</v>
      </c>
      <c r="B249" s="87" t="str">
        <f t="shared" si="115"/>
        <v>03.05</v>
      </c>
      <c r="C249" s="195" t="s">
        <v>21</v>
      </c>
      <c r="D249" s="195" t="s">
        <v>44</v>
      </c>
      <c r="E249" s="33" t="s">
        <v>12</v>
      </c>
      <c r="F249" s="33" t="s">
        <v>12</v>
      </c>
      <c r="G249" s="34"/>
      <c r="H249" s="33" t="s">
        <v>12</v>
      </c>
      <c r="I249" s="60"/>
      <c r="J249" s="174"/>
      <c r="K249" s="171"/>
      <c r="L249" s="167"/>
      <c r="M249" s="198"/>
      <c r="N249" s="164"/>
      <c r="O249" s="247">
        <f t="shared" si="113"/>
        <v>0</v>
      </c>
      <c r="P249" s="21" t="s">
        <v>12</v>
      </c>
      <c r="Q249" s="21" t="s">
        <v>12</v>
      </c>
      <c r="R249" s="205" t="str">
        <f t="shared" si="111"/>
        <v>OK</v>
      </c>
      <c r="S249" s="250"/>
      <c r="T249" s="130"/>
      <c r="U249" s="131"/>
      <c r="V249" s="133">
        <f t="shared" si="112"/>
        <v>0</v>
      </c>
    </row>
    <row r="250" spans="1:23" s="16" customFormat="1" ht="13.2" outlineLevel="3" x14ac:dyDescent="0.3">
      <c r="A250" s="20" t="s">
        <v>25</v>
      </c>
      <c r="B250" s="87" t="str">
        <f t="shared" si="115"/>
        <v>03.06</v>
      </c>
      <c r="C250" s="195" t="s">
        <v>21</v>
      </c>
      <c r="D250" s="195" t="s">
        <v>44</v>
      </c>
      <c r="E250" s="33" t="s">
        <v>12</v>
      </c>
      <c r="F250" s="33" t="s">
        <v>12</v>
      </c>
      <c r="G250" s="34"/>
      <c r="H250" s="33" t="s">
        <v>12</v>
      </c>
      <c r="I250" s="60"/>
      <c r="J250" s="174"/>
      <c r="K250" s="171"/>
      <c r="L250" s="167"/>
      <c r="M250" s="198"/>
      <c r="N250" s="164"/>
      <c r="O250" s="247">
        <f t="shared" si="113"/>
        <v>0</v>
      </c>
      <c r="P250" s="21" t="s">
        <v>12</v>
      </c>
      <c r="Q250" s="21" t="s">
        <v>12</v>
      </c>
      <c r="R250" s="205" t="str">
        <f t="shared" si="111"/>
        <v>OK</v>
      </c>
      <c r="S250" s="250"/>
      <c r="T250" s="130"/>
      <c r="U250" s="131"/>
      <c r="V250" s="133">
        <f t="shared" si="112"/>
        <v>0</v>
      </c>
    </row>
    <row r="251" spans="1:23" s="16" customFormat="1" ht="13.2" outlineLevel="3" x14ac:dyDescent="0.3">
      <c r="A251" s="20" t="s">
        <v>25</v>
      </c>
      <c r="B251" s="87" t="str">
        <f t="shared" si="115"/>
        <v>03.07</v>
      </c>
      <c r="C251" s="195" t="s">
        <v>21</v>
      </c>
      <c r="D251" s="195" t="s">
        <v>44</v>
      </c>
      <c r="E251" s="33" t="s">
        <v>12</v>
      </c>
      <c r="F251" s="33" t="s">
        <v>12</v>
      </c>
      <c r="G251" s="34"/>
      <c r="H251" s="33" t="s">
        <v>12</v>
      </c>
      <c r="I251" s="60"/>
      <c r="J251" s="174"/>
      <c r="K251" s="171"/>
      <c r="L251" s="167"/>
      <c r="M251" s="198"/>
      <c r="N251" s="164"/>
      <c r="O251" s="247">
        <f t="shared" si="113"/>
        <v>0</v>
      </c>
      <c r="P251" s="21" t="s">
        <v>12</v>
      </c>
      <c r="Q251" s="21" t="s">
        <v>12</v>
      </c>
      <c r="R251" s="205" t="str">
        <f t="shared" si="111"/>
        <v>OK</v>
      </c>
      <c r="S251" s="250"/>
      <c r="T251" s="130"/>
      <c r="U251" s="131"/>
      <c r="V251" s="133">
        <f t="shared" si="112"/>
        <v>0</v>
      </c>
    </row>
    <row r="252" spans="1:23" s="16" customFormat="1" ht="13.2" outlineLevel="3" x14ac:dyDescent="0.3">
      <c r="A252" s="20" t="s">
        <v>25</v>
      </c>
      <c r="B252" s="87" t="str">
        <f t="shared" si="115"/>
        <v>03.08</v>
      </c>
      <c r="C252" s="195" t="s">
        <v>21</v>
      </c>
      <c r="D252" s="195" t="s">
        <v>44</v>
      </c>
      <c r="E252" s="33" t="s">
        <v>12</v>
      </c>
      <c r="F252" s="33" t="s">
        <v>12</v>
      </c>
      <c r="G252" s="34"/>
      <c r="H252" s="33" t="s">
        <v>12</v>
      </c>
      <c r="I252" s="60"/>
      <c r="J252" s="174"/>
      <c r="K252" s="171"/>
      <c r="L252" s="167"/>
      <c r="M252" s="198"/>
      <c r="N252" s="164"/>
      <c r="O252" s="247">
        <f t="shared" si="113"/>
        <v>0</v>
      </c>
      <c r="P252" s="21" t="s">
        <v>12</v>
      </c>
      <c r="Q252" s="21" t="s">
        <v>12</v>
      </c>
      <c r="R252" s="205" t="str">
        <f t="shared" si="111"/>
        <v>OK</v>
      </c>
      <c r="S252" s="250"/>
      <c r="T252" s="130"/>
      <c r="U252" s="131"/>
      <c r="V252" s="133">
        <f t="shared" si="112"/>
        <v>0</v>
      </c>
    </row>
    <row r="253" spans="1:23" s="16" customFormat="1" ht="13.2" outlineLevel="3" x14ac:dyDescent="0.3">
      <c r="A253" s="20" t="s">
        <v>25</v>
      </c>
      <c r="B253" s="87" t="str">
        <f t="shared" si="115"/>
        <v>03.09</v>
      </c>
      <c r="C253" s="195" t="s">
        <v>21</v>
      </c>
      <c r="D253" s="195" t="s">
        <v>44</v>
      </c>
      <c r="E253" s="33" t="s">
        <v>12</v>
      </c>
      <c r="F253" s="33" t="s">
        <v>12</v>
      </c>
      <c r="G253" s="34"/>
      <c r="H253" s="33" t="s">
        <v>12</v>
      </c>
      <c r="I253" s="60"/>
      <c r="J253" s="174"/>
      <c r="K253" s="171"/>
      <c r="L253" s="167"/>
      <c r="M253" s="198"/>
      <c r="N253" s="164"/>
      <c r="O253" s="247">
        <f t="shared" si="113"/>
        <v>0</v>
      </c>
      <c r="P253" s="21" t="s">
        <v>12</v>
      </c>
      <c r="Q253" s="21" t="s">
        <v>12</v>
      </c>
      <c r="R253" s="205" t="str">
        <f t="shared" si="111"/>
        <v>OK</v>
      </c>
      <c r="S253" s="250"/>
      <c r="T253" s="130"/>
      <c r="U253" s="131"/>
      <c r="V253" s="133">
        <f t="shared" si="112"/>
        <v>0</v>
      </c>
    </row>
    <row r="254" spans="1:23" s="16" customFormat="1" ht="13.8" outlineLevel="3" thickBot="1" x14ac:dyDescent="0.35">
      <c r="A254" s="22" t="s">
        <v>25</v>
      </c>
      <c r="B254" s="88" t="str">
        <f t="shared" si="115"/>
        <v>03.010</v>
      </c>
      <c r="C254" s="196" t="s">
        <v>21</v>
      </c>
      <c r="D254" s="196" t="s">
        <v>44</v>
      </c>
      <c r="E254" s="12" t="s">
        <v>12</v>
      </c>
      <c r="F254" s="12" t="s">
        <v>12</v>
      </c>
      <c r="G254" s="118"/>
      <c r="H254" s="12" t="s">
        <v>12</v>
      </c>
      <c r="I254" s="61"/>
      <c r="J254" s="175"/>
      <c r="K254" s="172"/>
      <c r="L254" s="168"/>
      <c r="M254" s="200"/>
      <c r="N254" s="165"/>
      <c r="O254" s="248">
        <f t="shared" si="113"/>
        <v>0</v>
      </c>
      <c r="P254" s="121" t="s">
        <v>12</v>
      </c>
      <c r="Q254" s="121" t="s">
        <v>12</v>
      </c>
      <c r="R254" s="205" t="str">
        <f t="shared" si="111"/>
        <v>OK</v>
      </c>
      <c r="S254" s="251"/>
      <c r="T254" s="135"/>
      <c r="U254" s="136"/>
      <c r="V254" s="134">
        <f t="shared" si="112"/>
        <v>0</v>
      </c>
    </row>
    <row r="255" spans="1:23" ht="13.8" thickBot="1" x14ac:dyDescent="0.35">
      <c r="E255" s="25"/>
      <c r="H255" s="183"/>
      <c r="J255" s="3"/>
      <c r="K255" s="3"/>
      <c r="L255" s="3"/>
      <c r="M255" s="3"/>
      <c r="N255" s="3"/>
      <c r="O255" s="244"/>
      <c r="S255" s="2"/>
      <c r="V255" s="2"/>
      <c r="W255" s="3"/>
    </row>
    <row r="256" spans="1:23" ht="13.8" thickBot="1" x14ac:dyDescent="0.35">
      <c r="A256" s="155"/>
      <c r="B256" s="156"/>
      <c r="C256" s="156"/>
      <c r="D256" s="157"/>
      <c r="E256" s="158"/>
      <c r="F256" s="158"/>
      <c r="G256" s="158"/>
      <c r="H256" s="184"/>
      <c r="I256" s="158"/>
      <c r="J256" s="158"/>
      <c r="K256" s="158"/>
      <c r="L256" s="160"/>
      <c r="M256" s="161"/>
      <c r="N256" s="161"/>
      <c r="O256" s="245"/>
      <c r="P256" s="159"/>
      <c r="Q256" s="162"/>
      <c r="R256" s="5"/>
      <c r="S256" s="158"/>
      <c r="T256" s="158"/>
      <c r="U256" s="158"/>
      <c r="V256" s="159"/>
      <c r="W256" s="3"/>
    </row>
    <row r="257" spans="19:23" ht="13.2" x14ac:dyDescent="0.3">
      <c r="S257" s="2"/>
      <c r="V257" s="2"/>
      <c r="W257" s="3"/>
    </row>
    <row r="258" spans="19:23" ht="13.2" x14ac:dyDescent="0.3">
      <c r="S258" s="2"/>
      <c r="V258" s="2"/>
      <c r="W258" s="3"/>
    </row>
    <row r="259" spans="19:23" ht="13.2" x14ac:dyDescent="0.3">
      <c r="S259" s="2"/>
      <c r="V259" s="2"/>
      <c r="W259" s="3"/>
    </row>
    <row r="260" spans="19:23" ht="13.2" x14ac:dyDescent="0.3">
      <c r="S260" s="2"/>
      <c r="V260" s="2"/>
      <c r="W260" s="3"/>
    </row>
    <row r="261" spans="19:23" ht="13.2" x14ac:dyDescent="0.3">
      <c r="S261" s="2"/>
      <c r="V261" s="2"/>
      <c r="W261" s="3"/>
    </row>
    <row r="262" spans="19:23" ht="13.2" x14ac:dyDescent="0.3">
      <c r="S262" s="2"/>
      <c r="V262" s="2"/>
      <c r="W262" s="3"/>
    </row>
    <row r="263" spans="19:23" ht="13.2" x14ac:dyDescent="0.3">
      <c r="S263" s="2"/>
      <c r="V263" s="2"/>
      <c r="W263" s="3"/>
    </row>
    <row r="264" spans="19:23" ht="13.2" x14ac:dyDescent="0.3">
      <c r="S264" s="2"/>
      <c r="V264" s="2"/>
      <c r="W264" s="3"/>
    </row>
    <row r="265" spans="19:23" ht="13.2" x14ac:dyDescent="0.3">
      <c r="S265" s="2"/>
      <c r="V265" s="2"/>
      <c r="W265" s="3"/>
    </row>
    <row r="266" spans="19:23" ht="13.2" x14ac:dyDescent="0.3">
      <c r="S266" s="2"/>
      <c r="V266" s="2"/>
      <c r="W266" s="3"/>
    </row>
    <row r="267" spans="19:23" ht="13.2" x14ac:dyDescent="0.3">
      <c r="S267" s="2"/>
      <c r="V267" s="2"/>
      <c r="W267" s="3"/>
    </row>
    <row r="268" spans="19:23" ht="13.2" x14ac:dyDescent="0.3">
      <c r="S268" s="2"/>
      <c r="V268" s="2"/>
      <c r="W268" s="3"/>
    </row>
    <row r="269" spans="19:23" ht="13.2" x14ac:dyDescent="0.3">
      <c r="S269" s="2"/>
      <c r="V269" s="2"/>
      <c r="W269" s="3"/>
    </row>
    <row r="270" spans="19:23" ht="13.2" x14ac:dyDescent="0.3">
      <c r="S270" s="2"/>
      <c r="V270" s="2"/>
      <c r="W270" s="3"/>
    </row>
    <row r="271" spans="19:23" ht="13.2" x14ac:dyDescent="0.3">
      <c r="S271" s="2"/>
      <c r="V271" s="2"/>
      <c r="W271" s="3"/>
    </row>
    <row r="272" spans="19:23" ht="13.2" x14ac:dyDescent="0.3">
      <c r="S272" s="2"/>
      <c r="V272" s="2"/>
      <c r="W272" s="3"/>
    </row>
    <row r="273" spans="19:23" ht="13.2" x14ac:dyDescent="0.3">
      <c r="S273" s="2"/>
      <c r="V273" s="2"/>
      <c r="W273" s="3"/>
    </row>
    <row r="274" spans="19:23" ht="13.2" x14ac:dyDescent="0.3">
      <c r="S274" s="2"/>
      <c r="V274" s="2"/>
      <c r="W274" s="3"/>
    </row>
    <row r="275" spans="19:23" ht="13.2" x14ac:dyDescent="0.3">
      <c r="S275" s="2"/>
      <c r="V275" s="2"/>
      <c r="W275" s="3"/>
    </row>
    <row r="276" spans="19:23" ht="13.2" x14ac:dyDescent="0.3">
      <c r="S276" s="2"/>
      <c r="V276" s="2"/>
      <c r="W276" s="3"/>
    </row>
    <row r="277" spans="19:23" ht="13.2" x14ac:dyDescent="0.3">
      <c r="S277" s="2"/>
      <c r="V277" s="2"/>
      <c r="W277" s="3"/>
    </row>
    <row r="278" spans="19:23" ht="13.2" x14ac:dyDescent="0.3">
      <c r="S278" s="2"/>
      <c r="V278" s="2"/>
      <c r="W278" s="3"/>
    </row>
    <row r="279" spans="19:23" ht="13.2" x14ac:dyDescent="0.3">
      <c r="S279" s="2"/>
      <c r="V279" s="2"/>
      <c r="W279" s="3"/>
    </row>
    <row r="280" spans="19:23" ht="13.2" x14ac:dyDescent="0.3">
      <c r="S280" s="2"/>
      <c r="V280" s="2"/>
      <c r="W280" s="3"/>
    </row>
    <row r="281" spans="19:23" ht="13.2" x14ac:dyDescent="0.3">
      <c r="S281" s="2"/>
      <c r="V281" s="2"/>
      <c r="W281" s="3"/>
    </row>
    <row r="282" spans="19:23" ht="13.2" x14ac:dyDescent="0.3">
      <c r="S282" s="2"/>
      <c r="V282" s="2"/>
      <c r="W282" s="3"/>
    </row>
    <row r="283" spans="19:23" ht="13.2" x14ac:dyDescent="0.3">
      <c r="S283" s="2"/>
      <c r="V283" s="2"/>
      <c r="W283" s="3"/>
    </row>
    <row r="284" spans="19:23" ht="13.2" x14ac:dyDescent="0.3">
      <c r="S284" s="2"/>
      <c r="V284" s="2"/>
      <c r="W284" s="3"/>
    </row>
    <row r="285" spans="19:23" ht="13.2" x14ac:dyDescent="0.3">
      <c r="S285" s="2"/>
      <c r="V285" s="2"/>
      <c r="W285" s="3"/>
    </row>
    <row r="286" spans="19:23" ht="13.2" x14ac:dyDescent="0.3">
      <c r="S286" s="2"/>
      <c r="V286" s="2"/>
      <c r="W286" s="3"/>
    </row>
    <row r="287" spans="19:23" ht="13.2" x14ac:dyDescent="0.3">
      <c r="S287" s="2"/>
      <c r="V287" s="2"/>
      <c r="W287" s="3"/>
    </row>
    <row r="288" spans="19:23" ht="13.2" x14ac:dyDescent="0.3">
      <c r="S288" s="2"/>
      <c r="V288" s="2"/>
      <c r="W288" s="3"/>
    </row>
    <row r="289" spans="19:23" ht="13.2" x14ac:dyDescent="0.3">
      <c r="S289" s="2"/>
      <c r="V289" s="2"/>
      <c r="W289" s="3"/>
    </row>
    <row r="290" spans="19:23" ht="13.2" x14ac:dyDescent="0.3">
      <c r="S290" s="2"/>
      <c r="V290" s="2"/>
      <c r="W290" s="3"/>
    </row>
    <row r="291" spans="19:23" ht="13.2" x14ac:dyDescent="0.3">
      <c r="S291" s="2"/>
      <c r="V291" s="2"/>
      <c r="W291" s="3"/>
    </row>
    <row r="292" spans="19:23" ht="13.2" x14ac:dyDescent="0.3">
      <c r="S292" s="2"/>
      <c r="V292" s="2"/>
      <c r="W292" s="3"/>
    </row>
    <row r="293" spans="19:23" ht="13.2" x14ac:dyDescent="0.3">
      <c r="S293" s="2"/>
      <c r="V293" s="2"/>
      <c r="W293" s="3"/>
    </row>
    <row r="294" spans="19:23" ht="13.2" x14ac:dyDescent="0.3">
      <c r="S294" s="2"/>
      <c r="V294" s="2"/>
      <c r="W294" s="3"/>
    </row>
    <row r="295" spans="19:23" ht="13.2" x14ac:dyDescent="0.3">
      <c r="S295" s="2"/>
      <c r="V295" s="2"/>
      <c r="W295" s="3"/>
    </row>
    <row r="296" spans="19:23" ht="13.2" x14ac:dyDescent="0.3">
      <c r="S296" s="2"/>
      <c r="V296" s="2"/>
      <c r="W296" s="3"/>
    </row>
    <row r="297" spans="19:23" ht="13.2" x14ac:dyDescent="0.3">
      <c r="S297" s="2"/>
      <c r="V297" s="2"/>
      <c r="W297" s="3"/>
    </row>
    <row r="298" spans="19:23" ht="13.2" x14ac:dyDescent="0.3">
      <c r="S298" s="2"/>
      <c r="V298" s="2"/>
      <c r="W298" s="3"/>
    </row>
    <row r="299" spans="19:23" ht="13.2" x14ac:dyDescent="0.3">
      <c r="S299" s="2"/>
      <c r="V299" s="2"/>
      <c r="W299" s="3"/>
    </row>
    <row r="300" spans="19:23" ht="13.2" x14ac:dyDescent="0.3">
      <c r="S300" s="2"/>
      <c r="V300" s="2"/>
      <c r="W300" s="3"/>
    </row>
    <row r="301" spans="19:23" ht="13.2" x14ac:dyDescent="0.3">
      <c r="S301" s="2"/>
      <c r="V301" s="2"/>
      <c r="W301" s="3"/>
    </row>
    <row r="302" spans="19:23" ht="13.2" x14ac:dyDescent="0.3">
      <c r="S302" s="2"/>
      <c r="V302" s="2"/>
      <c r="W302" s="3"/>
    </row>
    <row r="303" spans="19:23" ht="13.2" x14ac:dyDescent="0.3">
      <c r="S303" s="2"/>
      <c r="V303" s="2"/>
      <c r="W303" s="3"/>
    </row>
    <row r="304" spans="19:23" ht="13.2" x14ac:dyDescent="0.3">
      <c r="S304" s="2"/>
      <c r="V304" s="2"/>
      <c r="W304" s="3"/>
    </row>
    <row r="305" spans="19:23" ht="13.2" x14ac:dyDescent="0.3">
      <c r="S305" s="2"/>
      <c r="V305" s="2"/>
      <c r="W305" s="3"/>
    </row>
    <row r="306" spans="19:23" ht="13.2" x14ac:dyDescent="0.3">
      <c r="S306" s="2"/>
      <c r="V306" s="2"/>
      <c r="W306" s="3"/>
    </row>
    <row r="307" spans="19:23" ht="13.2" x14ac:dyDescent="0.3">
      <c r="S307" s="2"/>
      <c r="V307" s="2"/>
      <c r="W307" s="3"/>
    </row>
    <row r="308" spans="19:23" ht="13.2" x14ac:dyDescent="0.3">
      <c r="S308" s="2"/>
      <c r="V308" s="2"/>
      <c r="W308" s="3"/>
    </row>
    <row r="309" spans="19:23" ht="13.2" x14ac:dyDescent="0.3">
      <c r="S309" s="2"/>
      <c r="V309" s="2"/>
      <c r="W309" s="3"/>
    </row>
    <row r="310" spans="19:23" ht="13.2" x14ac:dyDescent="0.3">
      <c r="S310" s="2"/>
      <c r="V310" s="2"/>
      <c r="W310" s="3"/>
    </row>
    <row r="311" spans="19:23" ht="13.2" x14ac:dyDescent="0.3">
      <c r="S311" s="2"/>
      <c r="V311" s="2"/>
      <c r="W311" s="3"/>
    </row>
    <row r="312" spans="19:23" ht="13.2" x14ac:dyDescent="0.3">
      <c r="S312" s="2"/>
      <c r="V312" s="2"/>
      <c r="W312" s="3"/>
    </row>
    <row r="313" spans="19:23" ht="13.2" x14ac:dyDescent="0.3">
      <c r="S313" s="2"/>
      <c r="V313" s="2"/>
      <c r="W313" s="3"/>
    </row>
    <row r="314" spans="19:23" ht="13.2" x14ac:dyDescent="0.3">
      <c r="S314" s="2"/>
      <c r="V314" s="2"/>
      <c r="W314" s="3"/>
    </row>
    <row r="315" spans="19:23" ht="13.2" x14ac:dyDescent="0.3">
      <c r="S315" s="2"/>
      <c r="V315" s="2"/>
      <c r="W315" s="3"/>
    </row>
    <row r="316" spans="19:23" ht="13.2" x14ac:dyDescent="0.3">
      <c r="S316" s="2"/>
      <c r="V316" s="2"/>
      <c r="W316" s="3"/>
    </row>
    <row r="317" spans="19:23" ht="13.2" x14ac:dyDescent="0.3">
      <c r="S317" s="2"/>
      <c r="V317" s="2"/>
      <c r="W317" s="3"/>
    </row>
    <row r="318" spans="19:23" ht="13.2" x14ac:dyDescent="0.3">
      <c r="S318" s="2"/>
      <c r="V318" s="2"/>
      <c r="W318" s="3"/>
    </row>
    <row r="319" spans="19:23" ht="13.2" x14ac:dyDescent="0.3">
      <c r="S319" s="2"/>
      <c r="V319" s="2"/>
      <c r="W319" s="3"/>
    </row>
    <row r="320" spans="19:23" ht="13.2" x14ac:dyDescent="0.3">
      <c r="S320" s="2"/>
      <c r="V320" s="2"/>
      <c r="W320" s="3"/>
    </row>
    <row r="321" spans="19:23" ht="13.2" x14ac:dyDescent="0.3">
      <c r="S321" s="2"/>
      <c r="V321" s="2"/>
      <c r="W321" s="3"/>
    </row>
    <row r="322" spans="19:23" ht="13.2" x14ac:dyDescent="0.3">
      <c r="S322" s="2"/>
      <c r="V322" s="2"/>
      <c r="W322" s="3"/>
    </row>
    <row r="323" spans="19:23" ht="13.2" x14ac:dyDescent="0.3">
      <c r="S323" s="2"/>
      <c r="V323" s="2"/>
      <c r="W323" s="3"/>
    </row>
    <row r="324" spans="19:23" ht="13.2" x14ac:dyDescent="0.3">
      <c r="S324" s="2"/>
      <c r="V324" s="2"/>
      <c r="W324" s="3"/>
    </row>
    <row r="325" spans="19:23" ht="13.2" x14ac:dyDescent="0.3">
      <c r="S325" s="2"/>
      <c r="V325" s="2"/>
      <c r="W325" s="3"/>
    </row>
    <row r="326" spans="19:23" ht="13.2" x14ac:dyDescent="0.3">
      <c r="S326" s="2"/>
      <c r="V326" s="2"/>
      <c r="W326" s="3"/>
    </row>
    <row r="327" spans="19:23" ht="13.2" x14ac:dyDescent="0.3">
      <c r="S327" s="2"/>
      <c r="V327" s="2"/>
      <c r="W327" s="3"/>
    </row>
    <row r="328" spans="19:23" ht="13.2" x14ac:dyDescent="0.3">
      <c r="S328" s="2"/>
      <c r="V328" s="2"/>
      <c r="W328" s="3"/>
    </row>
    <row r="329" spans="19:23" ht="13.2" x14ac:dyDescent="0.3">
      <c r="S329" s="2"/>
      <c r="V329" s="2"/>
      <c r="W329" s="3"/>
    </row>
    <row r="330" spans="19:23" ht="13.2" x14ac:dyDescent="0.3">
      <c r="S330" s="2"/>
      <c r="V330" s="2"/>
      <c r="W330" s="3"/>
    </row>
    <row r="331" spans="19:23" ht="13.2" x14ac:dyDescent="0.3">
      <c r="S331" s="2"/>
      <c r="V331" s="2"/>
      <c r="W331" s="3"/>
    </row>
    <row r="332" spans="19:23" ht="13.2" x14ac:dyDescent="0.3">
      <c r="S332" s="2"/>
      <c r="V332" s="2"/>
      <c r="W332" s="3"/>
    </row>
    <row r="333" spans="19:23" ht="13.2" x14ac:dyDescent="0.3">
      <c r="S333" s="2"/>
      <c r="V333" s="2"/>
      <c r="W333" s="3"/>
    </row>
    <row r="334" spans="19:23" ht="13.2" x14ac:dyDescent="0.3">
      <c r="S334" s="2"/>
      <c r="V334" s="2"/>
      <c r="W334" s="3"/>
    </row>
    <row r="335" spans="19:23" ht="13.2" x14ac:dyDescent="0.3">
      <c r="S335" s="2"/>
      <c r="V335" s="2"/>
      <c r="W335" s="3"/>
    </row>
    <row r="336" spans="19:23" ht="13.2" x14ac:dyDescent="0.3">
      <c r="S336" s="2"/>
      <c r="V336" s="2"/>
      <c r="W336" s="3"/>
    </row>
    <row r="337" spans="19:23" ht="13.2" x14ac:dyDescent="0.3">
      <c r="S337" s="2"/>
      <c r="V337" s="2"/>
      <c r="W337" s="3"/>
    </row>
    <row r="338" spans="19:23" ht="13.2" x14ac:dyDescent="0.3">
      <c r="S338" s="2"/>
      <c r="V338" s="2"/>
      <c r="W338" s="3"/>
    </row>
    <row r="339" spans="19:23" ht="13.2" x14ac:dyDescent="0.3">
      <c r="S339" s="2"/>
      <c r="V339" s="2"/>
      <c r="W339" s="3"/>
    </row>
    <row r="340" spans="19:23" ht="13.2" x14ac:dyDescent="0.3">
      <c r="S340" s="2"/>
      <c r="V340" s="2"/>
      <c r="W340" s="3"/>
    </row>
    <row r="341" spans="19:23" ht="13.2" x14ac:dyDescent="0.3">
      <c r="S341" s="2"/>
      <c r="V341" s="2"/>
      <c r="W341" s="3"/>
    </row>
    <row r="342" spans="19:23" ht="13.2" x14ac:dyDescent="0.3">
      <c r="S342" s="2"/>
      <c r="V342" s="2"/>
      <c r="W342" s="3"/>
    </row>
    <row r="343" spans="19:23" ht="13.2" x14ac:dyDescent="0.3">
      <c r="S343" s="2"/>
      <c r="V343" s="2"/>
      <c r="W343" s="3"/>
    </row>
    <row r="344" spans="19:23" ht="13.2" x14ac:dyDescent="0.3">
      <c r="S344" s="2"/>
      <c r="V344" s="2"/>
      <c r="W344" s="3"/>
    </row>
    <row r="345" spans="19:23" ht="13.2" x14ac:dyDescent="0.3">
      <c r="S345" s="2"/>
      <c r="V345" s="2"/>
      <c r="W345" s="3"/>
    </row>
    <row r="346" spans="19:23" ht="13.2" x14ac:dyDescent="0.3">
      <c r="S346" s="2"/>
      <c r="V346" s="2"/>
      <c r="W346" s="3"/>
    </row>
    <row r="347" spans="19:23" ht="13.2" x14ac:dyDescent="0.3">
      <c r="S347" s="2"/>
      <c r="V347" s="2"/>
      <c r="W347" s="3"/>
    </row>
    <row r="348" spans="19:23" ht="13.2" x14ac:dyDescent="0.3">
      <c r="S348" s="2"/>
      <c r="V348" s="2"/>
      <c r="W348" s="3"/>
    </row>
    <row r="349" spans="19:23" ht="13.2" x14ac:dyDescent="0.3">
      <c r="S349" s="2"/>
      <c r="V349" s="2"/>
      <c r="W349" s="3"/>
    </row>
    <row r="350" spans="19:23" ht="13.2" x14ac:dyDescent="0.3">
      <c r="S350" s="2"/>
      <c r="V350" s="2"/>
      <c r="W350" s="3"/>
    </row>
    <row r="351" spans="19:23" ht="13.2" x14ac:dyDescent="0.3">
      <c r="S351" s="2"/>
      <c r="V351" s="2"/>
      <c r="W351" s="3"/>
    </row>
    <row r="352" spans="19:23" ht="13.2" x14ac:dyDescent="0.3">
      <c r="S352" s="2"/>
      <c r="V352" s="2"/>
      <c r="W352" s="3"/>
    </row>
    <row r="353" spans="19:23" ht="13.2" x14ac:dyDescent="0.3">
      <c r="S353" s="2"/>
      <c r="V353" s="2"/>
      <c r="W353" s="3"/>
    </row>
    <row r="354" spans="19:23" ht="13.2" x14ac:dyDescent="0.3">
      <c r="S354" s="2"/>
      <c r="V354" s="2"/>
      <c r="W354" s="3"/>
    </row>
    <row r="355" spans="19:23" ht="13.2" x14ac:dyDescent="0.3">
      <c r="S355" s="2"/>
      <c r="V355" s="2"/>
      <c r="W355" s="3"/>
    </row>
    <row r="356" spans="19:23" ht="13.2" x14ac:dyDescent="0.3">
      <c r="S356" s="2"/>
      <c r="V356" s="2"/>
      <c r="W356" s="3"/>
    </row>
    <row r="357" spans="19:23" ht="13.2" x14ac:dyDescent="0.3">
      <c r="S357" s="2"/>
      <c r="V357" s="2"/>
      <c r="W357" s="3"/>
    </row>
    <row r="358" spans="19:23" ht="13.2" x14ac:dyDescent="0.3">
      <c r="S358" s="2"/>
      <c r="V358" s="2"/>
      <c r="W358" s="3"/>
    </row>
    <row r="359" spans="19:23" ht="13.2" x14ac:dyDescent="0.3">
      <c r="S359" s="2"/>
      <c r="V359" s="2"/>
      <c r="W359" s="3"/>
    </row>
    <row r="360" spans="19:23" ht="13.2" x14ac:dyDescent="0.3">
      <c r="S360" s="2"/>
      <c r="V360" s="2"/>
      <c r="W360" s="3"/>
    </row>
    <row r="361" spans="19:23" ht="13.2" x14ac:dyDescent="0.3">
      <c r="S361" s="2"/>
      <c r="V361" s="2"/>
      <c r="W361" s="3"/>
    </row>
    <row r="362" spans="19:23" ht="13.2" x14ac:dyDescent="0.3">
      <c r="S362" s="2"/>
      <c r="V362" s="2"/>
      <c r="W362" s="3"/>
    </row>
    <row r="363" spans="19:23" ht="13.2" x14ac:dyDescent="0.3">
      <c r="S363" s="2"/>
      <c r="V363" s="2"/>
      <c r="W363" s="3"/>
    </row>
    <row r="364" spans="19:23" ht="13.2" x14ac:dyDescent="0.3">
      <c r="S364" s="2"/>
      <c r="V364" s="2"/>
      <c r="W364" s="3"/>
    </row>
    <row r="365" spans="19:23" ht="13.2" x14ac:dyDescent="0.3">
      <c r="S365" s="2"/>
      <c r="V365" s="2"/>
      <c r="W365" s="3"/>
    </row>
    <row r="366" spans="19:23" ht="13.2" x14ac:dyDescent="0.3">
      <c r="S366" s="2"/>
      <c r="V366" s="2"/>
      <c r="W366" s="3"/>
    </row>
    <row r="367" spans="19:23" ht="13.2" x14ac:dyDescent="0.3">
      <c r="S367" s="2"/>
      <c r="V367" s="2"/>
      <c r="W367" s="3"/>
    </row>
    <row r="368" spans="19:23" ht="13.2" x14ac:dyDescent="0.3">
      <c r="S368" s="2"/>
      <c r="V368" s="2"/>
      <c r="W368" s="3"/>
    </row>
    <row r="369" spans="19:23" ht="13.2" x14ac:dyDescent="0.3">
      <c r="S369" s="2"/>
      <c r="V369" s="2"/>
      <c r="W369" s="3"/>
    </row>
    <row r="370" spans="19:23" ht="13.2" x14ac:dyDescent="0.3">
      <c r="S370" s="2"/>
      <c r="V370" s="2"/>
      <c r="W370" s="3"/>
    </row>
    <row r="371" spans="19:23" ht="13.2" x14ac:dyDescent="0.3">
      <c r="S371" s="2"/>
      <c r="V371" s="2"/>
      <c r="W371" s="3"/>
    </row>
    <row r="372" spans="19:23" ht="13.2" x14ac:dyDescent="0.3">
      <c r="S372" s="2"/>
      <c r="V372" s="2"/>
      <c r="W372" s="3"/>
    </row>
    <row r="373" spans="19:23" ht="13.2" x14ac:dyDescent="0.3">
      <c r="S373" s="2"/>
      <c r="V373" s="2"/>
      <c r="W373" s="3"/>
    </row>
    <row r="374" spans="19:23" ht="13.2" x14ac:dyDescent="0.3">
      <c r="S374" s="2"/>
      <c r="V374" s="2"/>
      <c r="W374" s="3"/>
    </row>
    <row r="375" spans="19:23" ht="13.2" x14ac:dyDescent="0.3">
      <c r="S375" s="2"/>
      <c r="V375" s="2"/>
      <c r="W375" s="3"/>
    </row>
    <row r="376" spans="19:23" ht="13.2" x14ac:dyDescent="0.3">
      <c r="S376" s="2"/>
      <c r="V376" s="2"/>
      <c r="W376" s="3"/>
    </row>
    <row r="377" spans="19:23" ht="13.2" x14ac:dyDescent="0.3">
      <c r="S377" s="2"/>
      <c r="V377" s="2"/>
      <c r="W377" s="3"/>
    </row>
    <row r="378" spans="19:23" ht="13.2" x14ac:dyDescent="0.3">
      <c r="S378" s="2"/>
      <c r="V378" s="2"/>
      <c r="W378" s="3"/>
    </row>
    <row r="379" spans="19:23" ht="13.2" x14ac:dyDescent="0.3">
      <c r="S379" s="2"/>
      <c r="V379" s="2"/>
      <c r="W379" s="3"/>
    </row>
    <row r="380" spans="19:23" ht="13.2" x14ac:dyDescent="0.3">
      <c r="S380" s="2"/>
      <c r="V380" s="2"/>
      <c r="W380" s="3"/>
    </row>
    <row r="381" spans="19:23" ht="13.2" x14ac:dyDescent="0.3">
      <c r="S381" s="2"/>
      <c r="V381" s="2"/>
      <c r="W381" s="3"/>
    </row>
    <row r="382" spans="19:23" ht="13.2" x14ac:dyDescent="0.3">
      <c r="S382" s="2"/>
      <c r="V382" s="2"/>
      <c r="W382" s="3"/>
    </row>
    <row r="383" spans="19:23" ht="13.2" x14ac:dyDescent="0.3">
      <c r="S383" s="2"/>
      <c r="V383" s="2"/>
      <c r="W383" s="3"/>
    </row>
    <row r="384" spans="19:23" ht="13.2" x14ac:dyDescent="0.3">
      <c r="S384" s="2"/>
      <c r="V384" s="2"/>
      <c r="W384" s="3"/>
    </row>
    <row r="385" spans="19:23" ht="13.2" x14ac:dyDescent="0.3">
      <c r="S385" s="2"/>
      <c r="V385" s="2"/>
      <c r="W385" s="3"/>
    </row>
    <row r="386" spans="19:23" ht="13.2" x14ac:dyDescent="0.3">
      <c r="S386" s="2"/>
      <c r="V386" s="2"/>
      <c r="W386" s="3"/>
    </row>
    <row r="387" spans="19:23" ht="13.2" x14ac:dyDescent="0.3">
      <c r="S387" s="2"/>
      <c r="V387" s="2"/>
      <c r="W387" s="3"/>
    </row>
    <row r="388" spans="19:23" ht="13.2" x14ac:dyDescent="0.3">
      <c r="S388" s="2"/>
      <c r="V388" s="2"/>
      <c r="W388" s="3"/>
    </row>
    <row r="389" spans="19:23" ht="13.2" x14ac:dyDescent="0.3">
      <c r="S389" s="2"/>
      <c r="V389" s="2"/>
      <c r="W389" s="3"/>
    </row>
    <row r="390" spans="19:23" ht="13.2" x14ac:dyDescent="0.3">
      <c r="S390" s="2"/>
      <c r="V390" s="2"/>
      <c r="W390" s="3"/>
    </row>
    <row r="391" spans="19:23" ht="13.2" x14ac:dyDescent="0.3">
      <c r="S391" s="2"/>
      <c r="V391" s="2"/>
      <c r="W391" s="3"/>
    </row>
    <row r="392" spans="19:23" ht="13.2" x14ac:dyDescent="0.3">
      <c r="S392" s="2"/>
      <c r="V392" s="2"/>
      <c r="W392" s="3"/>
    </row>
    <row r="393" spans="19:23" ht="13.2" x14ac:dyDescent="0.3">
      <c r="S393" s="2"/>
      <c r="V393" s="2"/>
      <c r="W393" s="3"/>
    </row>
    <row r="394" spans="19:23" ht="13.2" x14ac:dyDescent="0.3">
      <c r="S394" s="2"/>
      <c r="V394" s="2"/>
      <c r="W394" s="3"/>
    </row>
    <row r="395" spans="19:23" ht="13.2" x14ac:dyDescent="0.3">
      <c r="S395" s="2"/>
      <c r="V395" s="2"/>
      <c r="W395" s="3"/>
    </row>
    <row r="396" spans="19:23" ht="13.2" x14ac:dyDescent="0.3">
      <c r="S396" s="2"/>
      <c r="V396" s="2"/>
      <c r="W396" s="3"/>
    </row>
    <row r="397" spans="19:23" ht="13.2" x14ac:dyDescent="0.3">
      <c r="S397" s="2"/>
      <c r="V397" s="2"/>
      <c r="W397" s="3"/>
    </row>
    <row r="398" spans="19:23" ht="13.2" x14ac:dyDescent="0.3">
      <c r="S398" s="2"/>
      <c r="V398" s="2"/>
      <c r="W398" s="3"/>
    </row>
    <row r="399" spans="19:23" ht="13.2" x14ac:dyDescent="0.3">
      <c r="S399" s="2"/>
      <c r="V399" s="2"/>
      <c r="W399" s="3"/>
    </row>
    <row r="400" spans="19:23" ht="13.2" x14ac:dyDescent="0.3">
      <c r="S400" s="2"/>
      <c r="V400" s="2"/>
      <c r="W400" s="3"/>
    </row>
    <row r="401" spans="19:23" ht="13.2" x14ac:dyDescent="0.3">
      <c r="S401" s="2"/>
      <c r="V401" s="2"/>
      <c r="W401" s="3"/>
    </row>
    <row r="402" spans="19:23" ht="13.2" x14ac:dyDescent="0.3">
      <c r="S402" s="2"/>
      <c r="V402" s="2"/>
      <c r="W402" s="3"/>
    </row>
    <row r="403" spans="19:23" ht="13.2" x14ac:dyDescent="0.3">
      <c r="S403" s="2"/>
      <c r="V403" s="2"/>
      <c r="W403" s="3"/>
    </row>
    <row r="404" spans="19:23" ht="13.2" x14ac:dyDescent="0.3">
      <c r="S404" s="2"/>
      <c r="V404" s="2"/>
      <c r="W404" s="3"/>
    </row>
    <row r="405" spans="19:23" ht="13.2" x14ac:dyDescent="0.3">
      <c r="S405" s="2"/>
      <c r="V405" s="2"/>
      <c r="W405" s="3"/>
    </row>
    <row r="406" spans="19:23" ht="13.2" x14ac:dyDescent="0.3">
      <c r="S406" s="2"/>
      <c r="V406" s="2"/>
      <c r="W406" s="3"/>
    </row>
    <row r="407" spans="19:23" ht="13.2" x14ac:dyDescent="0.3">
      <c r="S407" s="2"/>
      <c r="V407" s="2"/>
      <c r="W407" s="3"/>
    </row>
    <row r="408" spans="19:23" ht="13.2" x14ac:dyDescent="0.3">
      <c r="S408" s="2"/>
      <c r="V408" s="2"/>
      <c r="W408" s="3"/>
    </row>
    <row r="409" spans="19:23" ht="13.2" x14ac:dyDescent="0.3">
      <c r="S409" s="2"/>
      <c r="V409" s="2"/>
      <c r="W409" s="3"/>
    </row>
    <row r="410" spans="19:23" ht="13.2" x14ac:dyDescent="0.3">
      <c r="S410" s="2"/>
      <c r="V410" s="2"/>
      <c r="W410" s="3"/>
    </row>
    <row r="411" spans="19:23" ht="13.2" x14ac:dyDescent="0.3">
      <c r="S411" s="2"/>
      <c r="V411" s="2"/>
      <c r="W411" s="3"/>
    </row>
    <row r="412" spans="19:23" ht="13.2" x14ac:dyDescent="0.3">
      <c r="S412" s="2"/>
      <c r="V412" s="2"/>
      <c r="W412" s="3"/>
    </row>
    <row r="413" spans="19:23" ht="13.2" x14ac:dyDescent="0.3">
      <c r="S413" s="2"/>
      <c r="V413" s="2"/>
      <c r="W413" s="3"/>
    </row>
    <row r="414" spans="19:23" ht="13.2" x14ac:dyDescent="0.3">
      <c r="S414" s="2"/>
      <c r="V414" s="2"/>
      <c r="W414" s="3"/>
    </row>
    <row r="415" spans="19:23" ht="13.2" x14ac:dyDescent="0.3">
      <c r="S415" s="2"/>
      <c r="V415" s="2"/>
      <c r="W415" s="3"/>
    </row>
    <row r="416" spans="19:23" ht="13.2" x14ac:dyDescent="0.3">
      <c r="S416" s="2"/>
      <c r="V416" s="2"/>
      <c r="W416" s="3"/>
    </row>
    <row r="417" spans="19:23" ht="13.2" x14ac:dyDescent="0.3">
      <c r="S417" s="2"/>
      <c r="V417" s="2"/>
      <c r="W417" s="3"/>
    </row>
    <row r="418" spans="19:23" ht="13.2" x14ac:dyDescent="0.3">
      <c r="S418" s="2"/>
      <c r="V418" s="2"/>
      <c r="W418" s="3"/>
    </row>
    <row r="419" spans="19:23" ht="13.2" x14ac:dyDescent="0.3">
      <c r="S419" s="2"/>
      <c r="V419" s="2"/>
      <c r="W419" s="3"/>
    </row>
    <row r="420" spans="19:23" ht="13.2" x14ac:dyDescent="0.3">
      <c r="S420" s="2"/>
      <c r="V420" s="2"/>
      <c r="W420" s="3"/>
    </row>
    <row r="421" spans="19:23" ht="13.2" x14ac:dyDescent="0.3">
      <c r="S421" s="2"/>
      <c r="V421" s="2"/>
      <c r="W421" s="3"/>
    </row>
    <row r="422" spans="19:23" ht="13.2" x14ac:dyDescent="0.3">
      <c r="S422" s="2"/>
      <c r="V422" s="2"/>
      <c r="W422" s="3"/>
    </row>
    <row r="423" spans="19:23" ht="13.2" x14ac:dyDescent="0.3">
      <c r="S423" s="2"/>
      <c r="V423" s="2"/>
      <c r="W423" s="3"/>
    </row>
    <row r="424" spans="19:23" ht="13.2" x14ac:dyDescent="0.3">
      <c r="S424" s="2"/>
      <c r="V424" s="2"/>
      <c r="W424" s="3"/>
    </row>
    <row r="425" spans="19:23" ht="13.2" x14ac:dyDescent="0.3">
      <c r="S425" s="2"/>
      <c r="V425" s="2"/>
      <c r="W425" s="3"/>
    </row>
    <row r="426" spans="19:23" ht="13.2" x14ac:dyDescent="0.3">
      <c r="S426" s="2"/>
      <c r="V426" s="2"/>
      <c r="W426" s="3"/>
    </row>
    <row r="427" spans="19:23" ht="13.2" x14ac:dyDescent="0.3">
      <c r="S427" s="2"/>
      <c r="V427" s="2"/>
      <c r="W427" s="3"/>
    </row>
    <row r="428" spans="19:23" ht="13.2" x14ac:dyDescent="0.3">
      <c r="S428" s="2"/>
      <c r="V428" s="2"/>
      <c r="W428" s="3"/>
    </row>
    <row r="429" spans="19:23" ht="13.2" x14ac:dyDescent="0.3">
      <c r="S429" s="2"/>
      <c r="V429" s="2"/>
      <c r="W429" s="3"/>
    </row>
    <row r="430" spans="19:23" ht="13.2" x14ac:dyDescent="0.3">
      <c r="S430" s="2"/>
      <c r="V430" s="2"/>
      <c r="W430" s="3"/>
    </row>
    <row r="431" spans="19:23" ht="13.2" x14ac:dyDescent="0.3">
      <c r="S431" s="2"/>
      <c r="V431" s="2"/>
      <c r="W431" s="3"/>
    </row>
    <row r="432" spans="19:23" ht="13.2" x14ac:dyDescent="0.3">
      <c r="S432" s="2"/>
      <c r="V432" s="2"/>
      <c r="W432" s="3"/>
    </row>
    <row r="433" spans="19:23" ht="13.2" x14ac:dyDescent="0.3">
      <c r="S433" s="2"/>
      <c r="V433" s="2"/>
      <c r="W433" s="3"/>
    </row>
    <row r="434" spans="19:23" ht="13.2" x14ac:dyDescent="0.3">
      <c r="S434" s="2"/>
      <c r="V434" s="2"/>
      <c r="W434" s="3"/>
    </row>
    <row r="435" spans="19:23" ht="13.2" x14ac:dyDescent="0.3">
      <c r="S435" s="2"/>
      <c r="V435" s="2"/>
      <c r="W435" s="3"/>
    </row>
    <row r="436" spans="19:23" ht="13.2" x14ac:dyDescent="0.3">
      <c r="S436" s="2"/>
      <c r="V436" s="2"/>
      <c r="W436" s="3"/>
    </row>
    <row r="437" spans="19:23" ht="13.2" x14ac:dyDescent="0.3">
      <c r="S437" s="2"/>
      <c r="V437" s="2"/>
      <c r="W437" s="3"/>
    </row>
    <row r="438" spans="19:23" ht="13.2" x14ac:dyDescent="0.3">
      <c r="S438" s="2"/>
      <c r="V438" s="2"/>
      <c r="W438" s="3"/>
    </row>
    <row r="439" spans="19:23" ht="13.2" x14ac:dyDescent="0.3">
      <c r="S439" s="2"/>
      <c r="V439" s="2"/>
      <c r="W439" s="3"/>
    </row>
    <row r="440" spans="19:23" ht="13.2" x14ac:dyDescent="0.3">
      <c r="S440" s="2"/>
      <c r="V440" s="2"/>
      <c r="W440" s="3"/>
    </row>
    <row r="441" spans="19:23" ht="13.2" x14ac:dyDescent="0.3">
      <c r="S441" s="2"/>
      <c r="V441" s="2"/>
      <c r="W441" s="3"/>
    </row>
    <row r="442" spans="19:23" ht="13.2" x14ac:dyDescent="0.3">
      <c r="S442" s="2"/>
      <c r="V442" s="2"/>
      <c r="W442" s="3"/>
    </row>
    <row r="443" spans="19:23" ht="13.2" x14ac:dyDescent="0.3">
      <c r="S443" s="2"/>
      <c r="V443" s="2"/>
      <c r="W443" s="3"/>
    </row>
    <row r="444" spans="19:23" ht="13.2" x14ac:dyDescent="0.3">
      <c r="S444" s="2"/>
      <c r="V444" s="2"/>
      <c r="W444" s="3"/>
    </row>
    <row r="445" spans="19:23" ht="13.2" x14ac:dyDescent="0.3">
      <c r="S445" s="2"/>
      <c r="V445" s="2"/>
      <c r="W445" s="3"/>
    </row>
    <row r="446" spans="19:23" ht="13.2" x14ac:dyDescent="0.3">
      <c r="S446" s="2"/>
      <c r="V446" s="2"/>
      <c r="W446" s="3"/>
    </row>
    <row r="447" spans="19:23" ht="13.2" x14ac:dyDescent="0.3">
      <c r="S447" s="2"/>
      <c r="V447" s="2"/>
      <c r="W447" s="3"/>
    </row>
    <row r="448" spans="19:23" ht="13.2" x14ac:dyDescent="0.3">
      <c r="S448" s="2"/>
      <c r="V448" s="2"/>
      <c r="W448" s="3"/>
    </row>
    <row r="449" spans="19:23" ht="13.2" x14ac:dyDescent="0.3">
      <c r="S449" s="2"/>
      <c r="V449" s="2"/>
      <c r="W449" s="3"/>
    </row>
    <row r="450" spans="19:23" ht="13.2" x14ac:dyDescent="0.3">
      <c r="S450" s="2"/>
      <c r="V450" s="2"/>
      <c r="W450" s="3"/>
    </row>
    <row r="451" spans="19:23" ht="13.2" x14ac:dyDescent="0.3">
      <c r="S451" s="2"/>
      <c r="V451" s="2"/>
      <c r="W451" s="3"/>
    </row>
    <row r="452" spans="19:23" ht="13.2" x14ac:dyDescent="0.3">
      <c r="S452" s="2"/>
      <c r="V452" s="2"/>
      <c r="W452" s="3"/>
    </row>
    <row r="453" spans="19:23" ht="13.2" x14ac:dyDescent="0.3">
      <c r="S453" s="2"/>
      <c r="V453" s="2"/>
      <c r="W453" s="3"/>
    </row>
    <row r="454" spans="19:23" ht="13.2" x14ac:dyDescent="0.3">
      <c r="S454" s="2"/>
      <c r="V454" s="2"/>
      <c r="W454" s="3"/>
    </row>
    <row r="455" spans="19:23" ht="13.2" x14ac:dyDescent="0.3">
      <c r="S455" s="2"/>
      <c r="V455" s="2"/>
      <c r="W455" s="3"/>
    </row>
    <row r="456" spans="19:23" ht="13.2" x14ac:dyDescent="0.3">
      <c r="S456" s="2"/>
      <c r="V456" s="2"/>
      <c r="W456" s="3"/>
    </row>
    <row r="457" spans="19:23" ht="13.2" x14ac:dyDescent="0.3">
      <c r="S457" s="2"/>
      <c r="V457" s="2"/>
      <c r="W457" s="3"/>
    </row>
    <row r="458" spans="19:23" ht="13.2" x14ac:dyDescent="0.3">
      <c r="S458" s="2"/>
      <c r="V458" s="2"/>
      <c r="W458" s="3"/>
    </row>
    <row r="459" spans="19:23" ht="13.2" x14ac:dyDescent="0.3">
      <c r="S459" s="2"/>
      <c r="V459" s="2"/>
      <c r="W459" s="3"/>
    </row>
    <row r="460" spans="19:23" ht="13.2" x14ac:dyDescent="0.3">
      <c r="S460" s="2"/>
      <c r="V460" s="2"/>
      <c r="W460" s="3"/>
    </row>
    <row r="461" spans="19:23" ht="13.2" x14ac:dyDescent="0.3">
      <c r="S461" s="2"/>
      <c r="V461" s="2"/>
      <c r="W461" s="3"/>
    </row>
    <row r="462" spans="19:23" ht="13.2" x14ac:dyDescent="0.3">
      <c r="S462" s="2"/>
      <c r="V462" s="2"/>
      <c r="W462" s="3"/>
    </row>
    <row r="463" spans="19:23" ht="13.2" x14ac:dyDescent="0.3">
      <c r="S463" s="2"/>
      <c r="V463" s="2"/>
      <c r="W463" s="3"/>
    </row>
    <row r="464" spans="19:23" ht="13.2" x14ac:dyDescent="0.3">
      <c r="S464" s="2"/>
      <c r="V464" s="2"/>
      <c r="W464" s="3"/>
    </row>
    <row r="465" spans="19:23" ht="13.2" x14ac:dyDescent="0.3">
      <c r="S465" s="2"/>
      <c r="V465" s="2"/>
      <c r="W465" s="3"/>
    </row>
    <row r="466" spans="19:23" ht="13.2" x14ac:dyDescent="0.3">
      <c r="S466" s="2"/>
      <c r="V466" s="2"/>
      <c r="W466" s="3"/>
    </row>
    <row r="467" spans="19:23" ht="13.2" x14ac:dyDescent="0.3">
      <c r="S467" s="2"/>
      <c r="V467" s="2"/>
      <c r="W467" s="3"/>
    </row>
    <row r="468" spans="19:23" ht="13.2" x14ac:dyDescent="0.3">
      <c r="S468" s="2"/>
      <c r="V468" s="2"/>
      <c r="W468" s="3"/>
    </row>
    <row r="469" spans="19:23" ht="13.2" x14ac:dyDescent="0.3">
      <c r="S469" s="2"/>
      <c r="V469" s="2"/>
      <c r="W469" s="3"/>
    </row>
    <row r="470" spans="19:23" ht="13.2" x14ac:dyDescent="0.3">
      <c r="S470" s="2"/>
      <c r="V470" s="2"/>
      <c r="W470" s="3"/>
    </row>
    <row r="471" spans="19:23" ht="13.2" x14ac:dyDescent="0.3">
      <c r="S471" s="2"/>
      <c r="V471" s="2"/>
      <c r="W471" s="3"/>
    </row>
    <row r="472" spans="19:23" ht="13.2" x14ac:dyDescent="0.3">
      <c r="S472" s="2"/>
      <c r="V472" s="2"/>
      <c r="W472" s="3"/>
    </row>
    <row r="473" spans="19:23" ht="13.2" x14ac:dyDescent="0.3">
      <c r="S473" s="2"/>
      <c r="V473" s="2"/>
      <c r="W473" s="3"/>
    </row>
    <row r="474" spans="19:23" ht="13.2" x14ac:dyDescent="0.3">
      <c r="S474" s="2"/>
      <c r="V474" s="2"/>
      <c r="W474" s="3"/>
    </row>
    <row r="475" spans="19:23" ht="13.2" x14ac:dyDescent="0.3">
      <c r="S475" s="2"/>
      <c r="V475" s="2"/>
      <c r="W475" s="3"/>
    </row>
    <row r="476" spans="19:23" ht="13.2" x14ac:dyDescent="0.3">
      <c r="S476" s="2"/>
      <c r="V476" s="2"/>
      <c r="W476" s="3"/>
    </row>
    <row r="477" spans="19:23" ht="13.2" x14ac:dyDescent="0.3">
      <c r="S477" s="2"/>
      <c r="V477" s="2"/>
      <c r="W477" s="3"/>
    </row>
    <row r="478" spans="19:23" ht="13.2" x14ac:dyDescent="0.3">
      <c r="S478" s="2"/>
      <c r="V478" s="2"/>
      <c r="W478" s="3"/>
    </row>
    <row r="479" spans="19:23" ht="13.2" x14ac:dyDescent="0.3">
      <c r="S479" s="2"/>
      <c r="V479" s="2"/>
      <c r="W479" s="3"/>
    </row>
    <row r="480" spans="19:23" ht="13.2" x14ac:dyDescent="0.3">
      <c r="S480" s="2"/>
      <c r="V480" s="2"/>
      <c r="W480" s="3"/>
    </row>
    <row r="481" spans="19:23" ht="13.2" x14ac:dyDescent="0.3">
      <c r="S481" s="2"/>
      <c r="V481" s="2"/>
      <c r="W481" s="3"/>
    </row>
    <row r="482" spans="19:23" ht="13.2" x14ac:dyDescent="0.3">
      <c r="S482" s="2"/>
      <c r="V482" s="2"/>
      <c r="W482" s="3"/>
    </row>
    <row r="483" spans="19:23" ht="13.2" x14ac:dyDescent="0.3">
      <c r="S483" s="2"/>
      <c r="V483" s="2"/>
      <c r="W483" s="3"/>
    </row>
    <row r="484" spans="19:23" ht="13.2" x14ac:dyDescent="0.3">
      <c r="S484" s="2"/>
      <c r="V484" s="2"/>
      <c r="W484" s="3"/>
    </row>
    <row r="485" spans="19:23" ht="13.2" x14ac:dyDescent="0.3">
      <c r="S485" s="2"/>
      <c r="V485" s="2"/>
      <c r="W485" s="3"/>
    </row>
    <row r="486" spans="19:23" ht="13.2" x14ac:dyDescent="0.3">
      <c r="S486" s="2"/>
      <c r="V486" s="2"/>
      <c r="W486" s="3"/>
    </row>
    <row r="487" spans="19:23" ht="13.2" x14ac:dyDescent="0.3">
      <c r="S487" s="2"/>
      <c r="V487" s="2"/>
      <c r="W487" s="3"/>
    </row>
    <row r="488" spans="19:23" ht="13.2" x14ac:dyDescent="0.3">
      <c r="S488" s="2"/>
      <c r="V488" s="2"/>
      <c r="W488" s="3"/>
    </row>
    <row r="489" spans="19:23" ht="13.2" x14ac:dyDescent="0.3">
      <c r="S489" s="2"/>
      <c r="V489" s="2"/>
      <c r="W489" s="3"/>
    </row>
    <row r="490" spans="19:23" ht="13.2" x14ac:dyDescent="0.3">
      <c r="S490" s="2"/>
      <c r="V490" s="2"/>
      <c r="W490" s="3"/>
    </row>
    <row r="491" spans="19:23" ht="13.2" x14ac:dyDescent="0.3">
      <c r="S491" s="2"/>
      <c r="V491" s="2"/>
      <c r="W491" s="3"/>
    </row>
    <row r="492" spans="19:23" ht="13.2" x14ac:dyDescent="0.3">
      <c r="S492" s="2"/>
      <c r="V492" s="2"/>
      <c r="W492" s="3"/>
    </row>
    <row r="493" spans="19:23" ht="13.2" x14ac:dyDescent="0.3">
      <c r="S493" s="2"/>
      <c r="V493" s="2"/>
      <c r="W493" s="3"/>
    </row>
    <row r="494" spans="19:23" ht="13.2" x14ac:dyDescent="0.3">
      <c r="S494" s="2"/>
      <c r="V494" s="2"/>
      <c r="W494" s="3"/>
    </row>
    <row r="495" spans="19:23" ht="13.2" x14ac:dyDescent="0.3">
      <c r="S495" s="2"/>
      <c r="V495" s="2"/>
      <c r="W495" s="3"/>
    </row>
    <row r="496" spans="19:23" ht="13.2" x14ac:dyDescent="0.3">
      <c r="S496" s="2"/>
      <c r="V496" s="2"/>
      <c r="W496" s="3"/>
    </row>
    <row r="497" spans="19:23" ht="13.2" x14ac:dyDescent="0.3">
      <c r="S497" s="2"/>
      <c r="V497" s="2"/>
      <c r="W497" s="3"/>
    </row>
    <row r="498" spans="19:23" ht="13.2" x14ac:dyDescent="0.3">
      <c r="S498" s="2"/>
      <c r="V498" s="2"/>
      <c r="W498" s="3"/>
    </row>
    <row r="499" spans="19:23" ht="13.2" x14ac:dyDescent="0.3">
      <c r="S499" s="2"/>
      <c r="V499" s="2"/>
      <c r="W499" s="3"/>
    </row>
    <row r="500" spans="19:23" ht="13.2" x14ac:dyDescent="0.3">
      <c r="S500" s="2"/>
      <c r="V500" s="2"/>
      <c r="W500" s="3"/>
    </row>
    <row r="501" spans="19:23" ht="13.2" x14ac:dyDescent="0.3">
      <c r="S501" s="2"/>
      <c r="V501" s="2"/>
      <c r="W501" s="3"/>
    </row>
    <row r="502" spans="19:23" ht="13.2" x14ac:dyDescent="0.3">
      <c r="S502" s="2"/>
      <c r="V502" s="2"/>
      <c r="W502" s="3"/>
    </row>
    <row r="503" spans="19:23" ht="13.2" x14ac:dyDescent="0.3">
      <c r="S503" s="2"/>
      <c r="V503" s="2"/>
      <c r="W503" s="3"/>
    </row>
    <row r="504" spans="19:23" ht="13.2" x14ac:dyDescent="0.3">
      <c r="S504" s="2"/>
      <c r="V504" s="2"/>
      <c r="W504" s="3"/>
    </row>
    <row r="505" spans="19:23" ht="13.2" x14ac:dyDescent="0.3">
      <c r="S505" s="2"/>
      <c r="V505" s="2"/>
      <c r="W505" s="3"/>
    </row>
    <row r="506" spans="19:23" ht="13.2" x14ac:dyDescent="0.3">
      <c r="S506" s="2"/>
      <c r="V506" s="2"/>
      <c r="W506" s="3"/>
    </row>
    <row r="507" spans="19:23" ht="13.2" x14ac:dyDescent="0.3">
      <c r="S507" s="2"/>
      <c r="V507" s="2"/>
      <c r="W507" s="3"/>
    </row>
    <row r="508" spans="19:23" ht="13.2" x14ac:dyDescent="0.3">
      <c r="S508" s="2"/>
      <c r="V508" s="2"/>
      <c r="W508" s="3"/>
    </row>
    <row r="509" spans="19:23" ht="13.2" x14ac:dyDescent="0.3">
      <c r="S509" s="2"/>
      <c r="V509" s="2"/>
      <c r="W509" s="3"/>
    </row>
    <row r="510" spans="19:23" ht="13.2" x14ac:dyDescent="0.3">
      <c r="S510" s="2"/>
      <c r="V510" s="2"/>
      <c r="W510" s="3"/>
    </row>
    <row r="511" spans="19:23" ht="13.2" x14ac:dyDescent="0.3">
      <c r="S511" s="2"/>
      <c r="V511" s="2"/>
      <c r="W511" s="3"/>
    </row>
    <row r="512" spans="19:23" ht="13.2" x14ac:dyDescent="0.3">
      <c r="S512" s="2"/>
      <c r="V512" s="2"/>
      <c r="W512" s="3"/>
    </row>
    <row r="513" spans="19:23" ht="13.2" x14ac:dyDescent="0.3">
      <c r="S513" s="2"/>
      <c r="V513" s="2"/>
      <c r="W513" s="3"/>
    </row>
    <row r="514" spans="19:23" ht="13.2" x14ac:dyDescent="0.3">
      <c r="S514" s="2"/>
      <c r="V514" s="2"/>
      <c r="W514" s="3"/>
    </row>
    <row r="515" spans="19:23" ht="13.2" x14ac:dyDescent="0.3">
      <c r="S515" s="2"/>
      <c r="V515" s="2"/>
      <c r="W515" s="3"/>
    </row>
    <row r="516" spans="19:23" ht="13.2" x14ac:dyDescent="0.3">
      <c r="S516" s="2"/>
      <c r="V516" s="2"/>
      <c r="W516" s="3"/>
    </row>
    <row r="517" spans="19:23" ht="13.2" x14ac:dyDescent="0.3">
      <c r="S517" s="2"/>
      <c r="V517" s="2"/>
      <c r="W517" s="3"/>
    </row>
    <row r="518" spans="19:23" ht="13.2" x14ac:dyDescent="0.3">
      <c r="S518" s="2"/>
      <c r="V518" s="2"/>
      <c r="W518" s="3"/>
    </row>
    <row r="519" spans="19:23" ht="13.2" x14ac:dyDescent="0.3">
      <c r="S519" s="2"/>
      <c r="V519" s="2"/>
      <c r="W519" s="3"/>
    </row>
    <row r="520" spans="19:23" ht="13.2" x14ac:dyDescent="0.3">
      <c r="S520" s="2"/>
      <c r="V520" s="2"/>
      <c r="W520" s="3"/>
    </row>
    <row r="521" spans="19:23" ht="13.2" x14ac:dyDescent="0.3">
      <c r="S521" s="2"/>
      <c r="V521" s="2"/>
      <c r="W521" s="3"/>
    </row>
    <row r="522" spans="19:23" ht="13.2" x14ac:dyDescent="0.3">
      <c r="S522" s="2"/>
      <c r="V522" s="2"/>
      <c r="W522" s="3"/>
    </row>
    <row r="523" spans="19:23" ht="13.2" x14ac:dyDescent="0.3">
      <c r="S523" s="2"/>
      <c r="V523" s="2"/>
      <c r="W523" s="3"/>
    </row>
    <row r="524" spans="19:23" ht="13.2" x14ac:dyDescent="0.3">
      <c r="S524" s="2"/>
      <c r="V524" s="2"/>
      <c r="W524" s="3"/>
    </row>
    <row r="525" spans="19:23" ht="13.2" x14ac:dyDescent="0.3">
      <c r="S525" s="2"/>
      <c r="V525" s="2"/>
      <c r="W525" s="3"/>
    </row>
    <row r="526" spans="19:23" ht="13.2" x14ac:dyDescent="0.3">
      <c r="S526" s="2"/>
      <c r="V526" s="2"/>
      <c r="W526" s="3"/>
    </row>
    <row r="527" spans="19:23" ht="13.2" x14ac:dyDescent="0.3">
      <c r="S527" s="2"/>
      <c r="V527" s="2"/>
      <c r="W527" s="3"/>
    </row>
    <row r="528" spans="19:23" ht="13.2" x14ac:dyDescent="0.3">
      <c r="S528" s="2"/>
      <c r="V528" s="2"/>
      <c r="W528" s="3"/>
    </row>
    <row r="529" spans="19:23" ht="13.2" x14ac:dyDescent="0.3">
      <c r="S529" s="2"/>
      <c r="V529" s="2"/>
      <c r="W529" s="3"/>
    </row>
    <row r="530" spans="19:23" ht="13.2" x14ac:dyDescent="0.3">
      <c r="S530" s="2"/>
      <c r="V530" s="2"/>
      <c r="W530" s="3"/>
    </row>
    <row r="531" spans="19:23" ht="13.2" x14ac:dyDescent="0.3">
      <c r="S531" s="2"/>
      <c r="V531" s="2"/>
      <c r="W531" s="3"/>
    </row>
    <row r="532" spans="19:23" ht="13.2" x14ac:dyDescent="0.3">
      <c r="S532" s="2"/>
      <c r="V532" s="2"/>
      <c r="W532" s="3"/>
    </row>
    <row r="533" spans="19:23" ht="13.2" x14ac:dyDescent="0.3">
      <c r="S533" s="2"/>
      <c r="V533" s="2"/>
      <c r="W533" s="3"/>
    </row>
    <row r="534" spans="19:23" ht="13.2" x14ac:dyDescent="0.3">
      <c r="S534" s="2"/>
      <c r="V534" s="2"/>
      <c r="W534" s="3"/>
    </row>
    <row r="535" spans="19:23" ht="13.2" x14ac:dyDescent="0.3">
      <c r="S535" s="2"/>
      <c r="V535" s="2"/>
      <c r="W535" s="3"/>
    </row>
    <row r="536" spans="19:23" ht="13.2" x14ac:dyDescent="0.3">
      <c r="S536" s="2"/>
      <c r="V536" s="2"/>
      <c r="W536" s="3"/>
    </row>
    <row r="537" spans="19:23" ht="13.2" x14ac:dyDescent="0.3">
      <c r="S537" s="2"/>
      <c r="V537" s="2"/>
      <c r="W537" s="3"/>
    </row>
    <row r="538" spans="19:23" ht="13.2" x14ac:dyDescent="0.3">
      <c r="S538" s="2"/>
      <c r="V538" s="2"/>
      <c r="W538" s="3"/>
    </row>
    <row r="539" spans="19:23" ht="13.2" x14ac:dyDescent="0.3">
      <c r="S539" s="2"/>
      <c r="V539" s="2"/>
      <c r="W539" s="3"/>
    </row>
    <row r="540" spans="19:23" ht="13.2" x14ac:dyDescent="0.3">
      <c r="S540" s="2"/>
      <c r="V540" s="2"/>
      <c r="W540" s="3"/>
    </row>
    <row r="541" spans="19:23" ht="13.2" x14ac:dyDescent="0.3">
      <c r="S541" s="2"/>
      <c r="V541" s="2"/>
      <c r="W541" s="3"/>
    </row>
    <row r="542" spans="19:23" ht="13.2" x14ac:dyDescent="0.3">
      <c r="S542" s="2"/>
      <c r="V542" s="2"/>
      <c r="W542" s="3"/>
    </row>
    <row r="543" spans="19:23" ht="13.2" x14ac:dyDescent="0.3">
      <c r="S543" s="2"/>
      <c r="V543" s="2"/>
      <c r="W543" s="3"/>
    </row>
    <row r="544" spans="19:23" ht="13.2" x14ac:dyDescent="0.3">
      <c r="S544" s="2"/>
      <c r="V544" s="2"/>
      <c r="W544" s="3"/>
    </row>
    <row r="545" spans="19:23" ht="13.2" x14ac:dyDescent="0.3">
      <c r="S545" s="2"/>
      <c r="V545" s="2"/>
      <c r="W545" s="3"/>
    </row>
    <row r="546" spans="19:23" ht="13.2" x14ac:dyDescent="0.3">
      <c r="S546" s="2"/>
      <c r="V546" s="2"/>
      <c r="W546" s="3"/>
    </row>
    <row r="547" spans="19:23" ht="13.2" x14ac:dyDescent="0.3">
      <c r="S547" s="2"/>
      <c r="V547" s="2"/>
      <c r="W547" s="3"/>
    </row>
    <row r="548" spans="19:23" ht="13.2" x14ac:dyDescent="0.3">
      <c r="S548" s="2"/>
      <c r="V548" s="2"/>
      <c r="W548" s="3"/>
    </row>
    <row r="549" spans="19:23" ht="13.2" x14ac:dyDescent="0.3">
      <c r="S549" s="2"/>
      <c r="V549" s="2"/>
      <c r="W549" s="3"/>
    </row>
    <row r="550" spans="19:23" ht="13.2" x14ac:dyDescent="0.3">
      <c r="S550" s="2"/>
      <c r="V550" s="2"/>
      <c r="W550" s="3"/>
    </row>
    <row r="551" spans="19:23" ht="13.2" x14ac:dyDescent="0.3">
      <c r="S551" s="2"/>
      <c r="V551" s="2"/>
      <c r="W551" s="3"/>
    </row>
    <row r="552" spans="19:23" ht="13.2" x14ac:dyDescent="0.3">
      <c r="S552" s="2"/>
      <c r="V552" s="2"/>
      <c r="W552" s="3"/>
    </row>
    <row r="553" spans="19:23" ht="13.2" x14ac:dyDescent="0.3">
      <c r="S553" s="2"/>
      <c r="V553" s="2"/>
      <c r="W553" s="3"/>
    </row>
    <row r="554" spans="19:23" ht="13.2" x14ac:dyDescent="0.3">
      <c r="S554" s="2"/>
      <c r="V554" s="2"/>
      <c r="W554" s="3"/>
    </row>
    <row r="555" spans="19:23" ht="13.2" x14ac:dyDescent="0.3">
      <c r="S555" s="2"/>
      <c r="V555" s="2"/>
      <c r="W555" s="3"/>
    </row>
    <row r="556" spans="19:23" ht="13.2" x14ac:dyDescent="0.3">
      <c r="S556" s="2"/>
      <c r="V556" s="2"/>
      <c r="W556" s="3"/>
    </row>
    <row r="557" spans="19:23" ht="13.2" x14ac:dyDescent="0.3">
      <c r="S557" s="2"/>
      <c r="V557" s="2"/>
      <c r="W557" s="3"/>
    </row>
    <row r="558" spans="19:23" ht="13.2" x14ac:dyDescent="0.3">
      <c r="S558" s="2"/>
      <c r="V558" s="2"/>
      <c r="W558" s="3"/>
    </row>
    <row r="559" spans="19:23" ht="13.2" x14ac:dyDescent="0.3">
      <c r="S559" s="2"/>
      <c r="V559" s="2"/>
      <c r="W559" s="3"/>
    </row>
    <row r="560" spans="19:23" ht="13.2" x14ac:dyDescent="0.3">
      <c r="S560" s="2"/>
      <c r="V560" s="2"/>
      <c r="W560" s="3"/>
    </row>
    <row r="561" spans="19:23" ht="13.2" x14ac:dyDescent="0.3">
      <c r="S561" s="2"/>
      <c r="V561" s="2"/>
      <c r="W561" s="3"/>
    </row>
    <row r="562" spans="19:23" ht="13.2" x14ac:dyDescent="0.3">
      <c r="S562" s="2"/>
      <c r="V562" s="2"/>
      <c r="W562" s="3"/>
    </row>
    <row r="563" spans="19:23" ht="13.2" x14ac:dyDescent="0.3">
      <c r="S563" s="2"/>
      <c r="V563" s="2"/>
      <c r="W563" s="3"/>
    </row>
    <row r="564" spans="19:23" ht="13.2" x14ac:dyDescent="0.3">
      <c r="S564" s="2"/>
      <c r="V564" s="2"/>
      <c r="W564" s="3"/>
    </row>
    <row r="565" spans="19:23" ht="13.2" x14ac:dyDescent="0.3">
      <c r="S565" s="2"/>
      <c r="V565" s="2"/>
      <c r="W565" s="3"/>
    </row>
    <row r="566" spans="19:23" ht="13.2" x14ac:dyDescent="0.3">
      <c r="S566" s="2"/>
      <c r="V566" s="2"/>
      <c r="W566" s="3"/>
    </row>
    <row r="567" spans="19:23" ht="13.2" x14ac:dyDescent="0.3">
      <c r="S567" s="2"/>
      <c r="V567" s="2"/>
      <c r="W567" s="3"/>
    </row>
    <row r="568" spans="19:23" ht="13.2" x14ac:dyDescent="0.3">
      <c r="S568" s="2"/>
      <c r="V568" s="2"/>
      <c r="W568" s="3"/>
    </row>
    <row r="569" spans="19:23" ht="13.2" x14ac:dyDescent="0.3">
      <c r="S569" s="2"/>
      <c r="V569" s="2"/>
      <c r="W569" s="3"/>
    </row>
    <row r="570" spans="19:23" ht="13.2" x14ac:dyDescent="0.3">
      <c r="S570" s="2"/>
      <c r="V570" s="2"/>
      <c r="W570" s="3"/>
    </row>
    <row r="571" spans="19:23" ht="13.2" x14ac:dyDescent="0.3">
      <c r="S571" s="2"/>
      <c r="V571" s="2"/>
      <c r="W571" s="3"/>
    </row>
    <row r="572" spans="19:23" ht="13.2" x14ac:dyDescent="0.3">
      <c r="S572" s="2"/>
      <c r="V572" s="2"/>
      <c r="W572" s="3"/>
    </row>
    <row r="573" spans="19:23" ht="13.2" x14ac:dyDescent="0.3">
      <c r="S573" s="2"/>
      <c r="V573" s="2"/>
      <c r="W573" s="3"/>
    </row>
    <row r="574" spans="19:23" ht="13.2" x14ac:dyDescent="0.3">
      <c r="S574" s="2"/>
      <c r="V574" s="2"/>
      <c r="W574" s="3"/>
    </row>
    <row r="575" spans="19:23" ht="13.2" x14ac:dyDescent="0.3">
      <c r="S575" s="2"/>
      <c r="V575" s="2"/>
      <c r="W575" s="3"/>
    </row>
    <row r="576" spans="19:23" ht="13.2" x14ac:dyDescent="0.3">
      <c r="S576" s="2"/>
      <c r="V576" s="2"/>
      <c r="W576" s="3"/>
    </row>
    <row r="577" spans="19:23" ht="13.2" x14ac:dyDescent="0.3">
      <c r="S577" s="2"/>
      <c r="V577" s="2"/>
      <c r="W577" s="3"/>
    </row>
    <row r="578" spans="19:23" ht="13.2" x14ac:dyDescent="0.3">
      <c r="S578" s="2"/>
      <c r="V578" s="2"/>
      <c r="W578" s="3"/>
    </row>
    <row r="579" spans="19:23" ht="13.2" x14ac:dyDescent="0.3">
      <c r="S579" s="2"/>
      <c r="V579" s="2"/>
      <c r="W579" s="3"/>
    </row>
    <row r="580" spans="19:23" ht="13.2" x14ac:dyDescent="0.3">
      <c r="S580" s="2"/>
      <c r="V580" s="2"/>
      <c r="W580" s="3"/>
    </row>
    <row r="581" spans="19:23" ht="13.2" x14ac:dyDescent="0.3">
      <c r="S581" s="2"/>
      <c r="V581" s="2"/>
      <c r="W581" s="3"/>
    </row>
    <row r="582" spans="19:23" ht="13.2" x14ac:dyDescent="0.3">
      <c r="S582" s="2"/>
      <c r="V582" s="2"/>
      <c r="W582" s="3"/>
    </row>
    <row r="583" spans="19:23" ht="13.2" x14ac:dyDescent="0.3">
      <c r="S583" s="2"/>
      <c r="V583" s="2"/>
      <c r="W583" s="3"/>
    </row>
    <row r="584" spans="19:23" ht="13.2" x14ac:dyDescent="0.3">
      <c r="S584" s="2"/>
      <c r="V584" s="2"/>
      <c r="W584" s="3"/>
    </row>
    <row r="585" spans="19:23" ht="13.2" x14ac:dyDescent="0.3">
      <c r="S585" s="2"/>
      <c r="V585" s="2"/>
      <c r="W585" s="3"/>
    </row>
    <row r="586" spans="19:23" ht="13.2" x14ac:dyDescent="0.3">
      <c r="S586" s="2"/>
      <c r="V586" s="2"/>
      <c r="W586" s="3"/>
    </row>
    <row r="587" spans="19:23" ht="13.2" x14ac:dyDescent="0.3">
      <c r="S587" s="2"/>
      <c r="V587" s="2"/>
      <c r="W587" s="3"/>
    </row>
    <row r="588" spans="19:23" ht="13.2" x14ac:dyDescent="0.3">
      <c r="S588" s="2"/>
      <c r="V588" s="2"/>
      <c r="W588" s="3"/>
    </row>
    <row r="589" spans="19:23" ht="13.2" x14ac:dyDescent="0.3">
      <c r="S589" s="2"/>
      <c r="V589" s="2"/>
      <c r="W589" s="3"/>
    </row>
    <row r="590" spans="19:23" ht="13.2" x14ac:dyDescent="0.3">
      <c r="S590" s="2"/>
      <c r="V590" s="2"/>
      <c r="W590" s="3"/>
    </row>
    <row r="591" spans="19:23" ht="13.2" x14ac:dyDescent="0.3">
      <c r="S591" s="2"/>
      <c r="V591" s="2"/>
      <c r="W591" s="3"/>
    </row>
    <row r="592" spans="19:23" ht="13.2" x14ac:dyDescent="0.3">
      <c r="S592" s="2"/>
      <c r="V592" s="2"/>
      <c r="W592" s="3"/>
    </row>
    <row r="593" spans="19:23" ht="13.2" x14ac:dyDescent="0.3">
      <c r="S593" s="2"/>
      <c r="V593" s="2"/>
      <c r="W593" s="3"/>
    </row>
    <row r="594" spans="19:23" ht="13.2" x14ac:dyDescent="0.3">
      <c r="S594" s="2"/>
      <c r="V594" s="2"/>
      <c r="W594" s="3"/>
    </row>
    <row r="595" spans="19:23" ht="13.2" x14ac:dyDescent="0.3">
      <c r="S595" s="2"/>
      <c r="V595" s="2"/>
      <c r="W595" s="3"/>
    </row>
    <row r="596" spans="19:23" ht="13.2" x14ac:dyDescent="0.3">
      <c r="S596" s="2"/>
      <c r="V596" s="2"/>
      <c r="W596" s="3"/>
    </row>
    <row r="597" spans="19:23" ht="13.2" x14ac:dyDescent="0.3">
      <c r="S597" s="2"/>
      <c r="V597" s="2"/>
      <c r="W597" s="3"/>
    </row>
    <row r="598" spans="19:23" ht="13.2" x14ac:dyDescent="0.3">
      <c r="S598" s="2"/>
      <c r="V598" s="2"/>
      <c r="W598" s="3"/>
    </row>
    <row r="599" spans="19:23" ht="13.2" x14ac:dyDescent="0.3">
      <c r="S599" s="2"/>
      <c r="V599" s="2"/>
      <c r="W599" s="3"/>
    </row>
    <row r="600" spans="19:23" ht="13.2" x14ac:dyDescent="0.3">
      <c r="S600" s="2"/>
      <c r="V600" s="2"/>
      <c r="W600" s="3"/>
    </row>
    <row r="601" spans="19:23" ht="13.2" x14ac:dyDescent="0.3">
      <c r="S601" s="2"/>
      <c r="V601" s="2"/>
      <c r="W601" s="3"/>
    </row>
    <row r="602" spans="19:23" ht="13.2" x14ac:dyDescent="0.3">
      <c r="S602" s="2"/>
      <c r="V602" s="2"/>
      <c r="W602" s="3"/>
    </row>
    <row r="603" spans="19:23" ht="13.2" x14ac:dyDescent="0.3">
      <c r="S603" s="2"/>
      <c r="V603" s="2"/>
      <c r="W603" s="3"/>
    </row>
    <row r="604" spans="19:23" ht="13.2" x14ac:dyDescent="0.3">
      <c r="S604" s="2"/>
      <c r="V604" s="2"/>
      <c r="W604" s="3"/>
    </row>
    <row r="605" spans="19:23" ht="13.2" x14ac:dyDescent="0.3">
      <c r="S605" s="2"/>
      <c r="V605" s="2"/>
      <c r="W605" s="3"/>
    </row>
    <row r="606" spans="19:23" ht="13.2" x14ac:dyDescent="0.3">
      <c r="S606" s="2"/>
      <c r="V606" s="2"/>
      <c r="W606" s="3"/>
    </row>
    <row r="607" spans="19:23" ht="13.2" x14ac:dyDescent="0.3">
      <c r="S607" s="2"/>
      <c r="V607" s="2"/>
      <c r="W607" s="3"/>
    </row>
    <row r="608" spans="19:23" ht="13.2" x14ac:dyDescent="0.3">
      <c r="S608" s="2"/>
      <c r="V608" s="2"/>
      <c r="W608" s="3"/>
    </row>
    <row r="609" spans="19:23" ht="13.2" x14ac:dyDescent="0.3">
      <c r="S609" s="2"/>
      <c r="V609" s="2"/>
      <c r="W609" s="3"/>
    </row>
    <row r="610" spans="19:23" ht="13.2" x14ac:dyDescent="0.3">
      <c r="S610" s="2"/>
      <c r="V610" s="2"/>
      <c r="W610" s="3"/>
    </row>
    <row r="611" spans="19:23" ht="13.2" x14ac:dyDescent="0.3">
      <c r="S611" s="2"/>
      <c r="V611" s="2"/>
      <c r="W611" s="3"/>
    </row>
    <row r="612" spans="19:23" ht="13.2" x14ac:dyDescent="0.3">
      <c r="S612" s="2"/>
      <c r="V612" s="2"/>
      <c r="W612" s="3"/>
    </row>
    <row r="613" spans="19:23" ht="13.2" x14ac:dyDescent="0.3">
      <c r="S613" s="2"/>
      <c r="V613" s="2"/>
      <c r="W613" s="3"/>
    </row>
    <row r="614" spans="19:23" ht="13.2" x14ac:dyDescent="0.3">
      <c r="S614" s="2"/>
      <c r="V614" s="2"/>
      <c r="W614" s="3"/>
    </row>
    <row r="615" spans="19:23" ht="13.2" x14ac:dyDescent="0.3">
      <c r="S615" s="2"/>
      <c r="V615" s="2"/>
      <c r="W615" s="3"/>
    </row>
    <row r="616" spans="19:23" ht="13.2" x14ac:dyDescent="0.3">
      <c r="S616" s="2"/>
      <c r="V616" s="2"/>
      <c r="W616" s="3"/>
    </row>
    <row r="617" spans="19:23" ht="13.2" x14ac:dyDescent="0.3">
      <c r="S617" s="2"/>
      <c r="V617" s="2"/>
      <c r="W617" s="3"/>
    </row>
    <row r="618" spans="19:23" ht="13.2" x14ac:dyDescent="0.3">
      <c r="S618" s="2"/>
      <c r="V618" s="2"/>
      <c r="W618" s="3"/>
    </row>
    <row r="619" spans="19:23" ht="13.2" x14ac:dyDescent="0.3">
      <c r="S619" s="2"/>
      <c r="V619" s="2"/>
      <c r="W619" s="3"/>
    </row>
    <row r="620" spans="19:23" ht="13.2" x14ac:dyDescent="0.3">
      <c r="S620" s="2"/>
      <c r="V620" s="2"/>
      <c r="W620" s="3"/>
    </row>
    <row r="621" spans="19:23" ht="13.2" x14ac:dyDescent="0.3">
      <c r="S621" s="2"/>
      <c r="V621" s="2"/>
      <c r="W621" s="3"/>
    </row>
    <row r="622" spans="19:23" ht="13.2" x14ac:dyDescent="0.3">
      <c r="S622" s="2"/>
      <c r="V622" s="2"/>
      <c r="W622" s="3"/>
    </row>
    <row r="623" spans="19:23" ht="13.2" x14ac:dyDescent="0.3">
      <c r="S623" s="2"/>
      <c r="V623" s="2"/>
      <c r="W623" s="3"/>
    </row>
    <row r="624" spans="19:23" ht="13.2" x14ac:dyDescent="0.3">
      <c r="S624" s="2"/>
      <c r="V624" s="2"/>
      <c r="W624" s="3"/>
    </row>
    <row r="625" spans="19:23" ht="13.2" x14ac:dyDescent="0.3">
      <c r="S625" s="2"/>
      <c r="V625" s="2"/>
      <c r="W625" s="3"/>
    </row>
    <row r="626" spans="19:23" ht="13.2" x14ac:dyDescent="0.3">
      <c r="S626" s="2"/>
      <c r="V626" s="2"/>
      <c r="W626" s="3"/>
    </row>
    <row r="627" spans="19:23" ht="13.2" x14ac:dyDescent="0.3">
      <c r="S627" s="2"/>
      <c r="V627" s="2"/>
      <c r="W627" s="3"/>
    </row>
    <row r="628" spans="19:23" ht="13.2" x14ac:dyDescent="0.3">
      <c r="S628" s="2"/>
      <c r="V628" s="2"/>
      <c r="W628" s="3"/>
    </row>
    <row r="629" spans="19:23" ht="13.2" x14ac:dyDescent="0.3">
      <c r="S629" s="2"/>
      <c r="V629" s="2"/>
      <c r="W629" s="3"/>
    </row>
    <row r="630" spans="19:23" ht="13.2" x14ac:dyDescent="0.3">
      <c r="S630" s="2"/>
      <c r="V630" s="2"/>
      <c r="W630" s="3"/>
    </row>
    <row r="631" spans="19:23" ht="13.2" x14ac:dyDescent="0.3">
      <c r="S631" s="2"/>
      <c r="V631" s="2"/>
      <c r="W631" s="3"/>
    </row>
    <row r="632" spans="19:23" ht="13.2" x14ac:dyDescent="0.3">
      <c r="S632" s="2"/>
      <c r="V632" s="2"/>
      <c r="W632" s="3"/>
    </row>
    <row r="633" spans="19:23" ht="13.2" x14ac:dyDescent="0.3">
      <c r="S633" s="2"/>
      <c r="V633" s="2"/>
      <c r="W633" s="3"/>
    </row>
    <row r="634" spans="19:23" ht="13.2" x14ac:dyDescent="0.3">
      <c r="S634" s="2"/>
      <c r="V634" s="2"/>
      <c r="W634" s="3"/>
    </row>
    <row r="635" spans="19:23" ht="13.2" x14ac:dyDescent="0.3">
      <c r="S635" s="2"/>
      <c r="V635" s="2"/>
      <c r="W635" s="3"/>
    </row>
    <row r="636" spans="19:23" ht="13.2" x14ac:dyDescent="0.3">
      <c r="S636" s="2"/>
      <c r="V636" s="2"/>
      <c r="W636" s="3"/>
    </row>
    <row r="637" spans="19:23" ht="13.2" x14ac:dyDescent="0.3">
      <c r="S637" s="2"/>
      <c r="V637" s="2"/>
      <c r="W637" s="3"/>
    </row>
    <row r="638" spans="19:23" ht="13.2" x14ac:dyDescent="0.3">
      <c r="S638" s="2"/>
      <c r="V638" s="2"/>
      <c r="W638" s="3"/>
    </row>
    <row r="639" spans="19:23" ht="13.2" x14ac:dyDescent="0.3">
      <c r="S639" s="2"/>
      <c r="V639" s="2"/>
      <c r="W639" s="3"/>
    </row>
    <row r="640" spans="19:23" ht="13.2" x14ac:dyDescent="0.3">
      <c r="S640" s="2"/>
      <c r="V640" s="2"/>
      <c r="W640" s="3"/>
    </row>
    <row r="641" spans="19:23" ht="13.2" x14ac:dyDescent="0.3">
      <c r="S641" s="2"/>
      <c r="V641" s="2"/>
      <c r="W641" s="3"/>
    </row>
    <row r="642" spans="19:23" ht="13.2" x14ac:dyDescent="0.3">
      <c r="S642" s="2"/>
      <c r="V642" s="2"/>
      <c r="W642" s="3"/>
    </row>
    <row r="643" spans="19:23" ht="13.2" x14ac:dyDescent="0.3">
      <c r="S643" s="2"/>
      <c r="V643" s="2"/>
      <c r="W643" s="3"/>
    </row>
    <row r="644" spans="19:23" ht="13.2" x14ac:dyDescent="0.3">
      <c r="S644" s="2"/>
      <c r="V644" s="2"/>
      <c r="W644" s="3"/>
    </row>
    <row r="645" spans="19:23" ht="13.2" x14ac:dyDescent="0.3">
      <c r="S645" s="2"/>
      <c r="V645" s="2"/>
      <c r="W645" s="3"/>
    </row>
    <row r="646" spans="19:23" ht="13.2" x14ac:dyDescent="0.3">
      <c r="S646" s="2"/>
      <c r="V646" s="2"/>
      <c r="W646" s="3"/>
    </row>
    <row r="647" spans="19:23" ht="13.2" x14ac:dyDescent="0.3">
      <c r="S647" s="2"/>
      <c r="V647" s="2"/>
      <c r="W647" s="3"/>
    </row>
    <row r="648" spans="19:23" ht="13.2" x14ac:dyDescent="0.3">
      <c r="S648" s="2"/>
      <c r="V648" s="2"/>
      <c r="W648" s="3"/>
    </row>
    <row r="649" spans="19:23" ht="13.2" x14ac:dyDescent="0.3">
      <c r="S649" s="2"/>
      <c r="V649" s="2"/>
      <c r="W649" s="3"/>
    </row>
    <row r="650" spans="19:23" ht="13.2" x14ac:dyDescent="0.3">
      <c r="S650" s="2"/>
      <c r="V650" s="2"/>
      <c r="W650" s="3"/>
    </row>
    <row r="651" spans="19:23" ht="13.2" x14ac:dyDescent="0.3">
      <c r="S651" s="2"/>
      <c r="V651" s="2"/>
      <c r="W651" s="3"/>
    </row>
    <row r="652" spans="19:23" ht="13.2" x14ac:dyDescent="0.3">
      <c r="S652" s="2"/>
      <c r="V652" s="2"/>
      <c r="W652" s="3"/>
    </row>
    <row r="653" spans="19:23" ht="13.2" x14ac:dyDescent="0.3">
      <c r="S653" s="2"/>
      <c r="V653" s="2"/>
      <c r="W653" s="3"/>
    </row>
    <row r="654" spans="19:23" ht="13.2" x14ac:dyDescent="0.3">
      <c r="S654" s="2"/>
      <c r="V654" s="2"/>
      <c r="W654" s="3"/>
    </row>
    <row r="655" spans="19:23" ht="13.2" x14ac:dyDescent="0.3">
      <c r="S655" s="2"/>
      <c r="V655" s="2"/>
      <c r="W655" s="3"/>
    </row>
    <row r="656" spans="19:23" ht="13.2" x14ac:dyDescent="0.3">
      <c r="S656" s="2"/>
      <c r="V656" s="2"/>
      <c r="W656" s="3"/>
    </row>
    <row r="657" spans="19:23" ht="13.2" x14ac:dyDescent="0.3">
      <c r="S657" s="2"/>
      <c r="V657" s="2"/>
      <c r="W657" s="3"/>
    </row>
    <row r="658" spans="19:23" ht="13.2" x14ac:dyDescent="0.3">
      <c r="S658" s="2"/>
      <c r="V658" s="2"/>
      <c r="W658" s="3"/>
    </row>
    <row r="659" spans="19:23" ht="13.2" x14ac:dyDescent="0.3">
      <c r="S659" s="2"/>
      <c r="V659" s="2"/>
      <c r="W659" s="3"/>
    </row>
    <row r="660" spans="19:23" ht="13.2" x14ac:dyDescent="0.3">
      <c r="S660" s="2"/>
      <c r="V660" s="2"/>
      <c r="W660" s="3"/>
    </row>
    <row r="661" spans="19:23" ht="13.2" x14ac:dyDescent="0.3">
      <c r="S661" s="2"/>
      <c r="V661" s="2"/>
      <c r="W661" s="3"/>
    </row>
    <row r="662" spans="19:23" ht="13.2" x14ac:dyDescent="0.3">
      <c r="S662" s="2"/>
      <c r="V662" s="2"/>
      <c r="W662" s="3"/>
    </row>
    <row r="663" spans="19:23" ht="13.2" x14ac:dyDescent="0.3">
      <c r="S663" s="2"/>
      <c r="V663" s="2"/>
      <c r="W663" s="3"/>
    </row>
    <row r="664" spans="19:23" ht="13.2" x14ac:dyDescent="0.3">
      <c r="S664" s="2"/>
      <c r="V664" s="2"/>
      <c r="W664" s="3"/>
    </row>
    <row r="665" spans="19:23" ht="13.2" x14ac:dyDescent="0.3">
      <c r="S665" s="2"/>
      <c r="V665" s="2"/>
      <c r="W665" s="3"/>
    </row>
    <row r="666" spans="19:23" ht="13.2" x14ac:dyDescent="0.3">
      <c r="S666" s="2"/>
      <c r="V666" s="2"/>
      <c r="W666" s="3"/>
    </row>
    <row r="667" spans="19:23" ht="13.2" x14ac:dyDescent="0.3">
      <c r="S667" s="2"/>
      <c r="V667" s="2"/>
      <c r="W667" s="3"/>
    </row>
    <row r="668" spans="19:23" ht="13.2" x14ac:dyDescent="0.3">
      <c r="S668" s="2"/>
      <c r="V668" s="2"/>
      <c r="W668" s="3"/>
    </row>
    <row r="669" spans="19:23" ht="13.2" x14ac:dyDescent="0.3">
      <c r="S669" s="2"/>
      <c r="V669" s="2"/>
      <c r="W669" s="3"/>
    </row>
    <row r="670" spans="19:23" ht="13.2" x14ac:dyDescent="0.3">
      <c r="S670" s="2"/>
      <c r="V670" s="2"/>
      <c r="W670" s="3"/>
    </row>
    <row r="671" spans="19:23" ht="13.2" x14ac:dyDescent="0.3">
      <c r="S671" s="2"/>
      <c r="V671" s="2"/>
      <c r="W671" s="3"/>
    </row>
    <row r="672" spans="19:23" ht="13.2" x14ac:dyDescent="0.3">
      <c r="S672" s="2"/>
      <c r="V672" s="2"/>
      <c r="W672" s="3"/>
    </row>
    <row r="673" spans="19:23" ht="13.2" x14ac:dyDescent="0.3">
      <c r="S673" s="2"/>
      <c r="V673" s="2"/>
      <c r="W673" s="3"/>
    </row>
    <row r="674" spans="19:23" ht="13.2" x14ac:dyDescent="0.3">
      <c r="S674" s="2"/>
      <c r="V674" s="2"/>
      <c r="W674" s="3"/>
    </row>
    <row r="675" spans="19:23" ht="13.2" x14ac:dyDescent="0.3">
      <c r="S675" s="2"/>
      <c r="V675" s="2"/>
      <c r="W675" s="3"/>
    </row>
    <row r="676" spans="19:23" ht="13.2" x14ac:dyDescent="0.3">
      <c r="S676" s="2"/>
      <c r="V676" s="2"/>
      <c r="W676" s="3"/>
    </row>
    <row r="677" spans="19:23" ht="13.2" x14ac:dyDescent="0.3">
      <c r="S677" s="2"/>
      <c r="V677" s="2"/>
      <c r="W677" s="3"/>
    </row>
    <row r="678" spans="19:23" ht="13.2" x14ac:dyDescent="0.3">
      <c r="S678" s="2"/>
      <c r="V678" s="2"/>
      <c r="W678" s="3"/>
    </row>
    <row r="679" spans="19:23" ht="13.2" x14ac:dyDescent="0.3">
      <c r="S679" s="2"/>
      <c r="V679" s="2"/>
      <c r="W679" s="3"/>
    </row>
    <row r="680" spans="19:23" ht="13.2" x14ac:dyDescent="0.3">
      <c r="S680" s="2"/>
      <c r="V680" s="2"/>
      <c r="W680" s="3"/>
    </row>
    <row r="681" spans="19:23" ht="13.2" x14ac:dyDescent="0.3">
      <c r="S681" s="2"/>
      <c r="V681" s="2"/>
      <c r="W681" s="3"/>
    </row>
    <row r="682" spans="19:23" ht="13.2" x14ac:dyDescent="0.3">
      <c r="S682" s="2"/>
      <c r="V682" s="2"/>
      <c r="W682" s="3"/>
    </row>
    <row r="683" spans="19:23" ht="13.2" x14ac:dyDescent="0.3">
      <c r="S683" s="2"/>
      <c r="V683" s="2"/>
      <c r="W683" s="3"/>
    </row>
    <row r="684" spans="19:23" ht="13.2" x14ac:dyDescent="0.3">
      <c r="S684" s="2"/>
      <c r="V684" s="2"/>
      <c r="W684" s="3"/>
    </row>
    <row r="685" spans="19:23" ht="13.2" x14ac:dyDescent="0.3">
      <c r="S685" s="2"/>
      <c r="V685" s="2"/>
      <c r="W685" s="3"/>
    </row>
    <row r="686" spans="19:23" ht="13.2" x14ac:dyDescent="0.3">
      <c r="S686" s="2"/>
      <c r="V686" s="2"/>
      <c r="W686" s="3"/>
    </row>
    <row r="687" spans="19:23" ht="13.2" x14ac:dyDescent="0.3">
      <c r="S687" s="2"/>
      <c r="V687" s="2"/>
      <c r="W687" s="3"/>
    </row>
    <row r="688" spans="19:23" ht="13.2" x14ac:dyDescent="0.3">
      <c r="S688" s="2"/>
      <c r="V688" s="2"/>
      <c r="W688" s="3"/>
    </row>
    <row r="689" spans="19:23" ht="13.2" x14ac:dyDescent="0.3">
      <c r="S689" s="2"/>
      <c r="V689" s="2"/>
      <c r="W689" s="3"/>
    </row>
    <row r="690" spans="19:23" ht="13.2" x14ac:dyDescent="0.3">
      <c r="S690" s="2"/>
      <c r="V690" s="2"/>
      <c r="W690" s="3"/>
    </row>
    <row r="691" spans="19:23" ht="13.2" x14ac:dyDescent="0.3">
      <c r="S691" s="2"/>
      <c r="V691" s="2"/>
      <c r="W691" s="3"/>
    </row>
    <row r="692" spans="19:23" ht="13.2" x14ac:dyDescent="0.3">
      <c r="S692" s="2"/>
      <c r="V692" s="2"/>
      <c r="W692" s="3"/>
    </row>
    <row r="693" spans="19:23" ht="13.2" x14ac:dyDescent="0.3">
      <c r="S693" s="2"/>
      <c r="V693" s="2"/>
      <c r="W693" s="3"/>
    </row>
    <row r="694" spans="19:23" ht="13.2" x14ac:dyDescent="0.3">
      <c r="S694" s="2"/>
      <c r="V694" s="2"/>
      <c r="W694" s="3"/>
    </row>
    <row r="695" spans="19:23" ht="13.2" x14ac:dyDescent="0.3">
      <c r="S695" s="2"/>
      <c r="V695" s="2"/>
      <c r="W695" s="3"/>
    </row>
    <row r="696" spans="19:23" ht="13.2" x14ac:dyDescent="0.3">
      <c r="S696" s="2"/>
      <c r="V696" s="2"/>
      <c r="W696" s="3"/>
    </row>
    <row r="697" spans="19:23" ht="13.2" x14ac:dyDescent="0.3">
      <c r="S697" s="2"/>
      <c r="V697" s="2"/>
      <c r="W697" s="3"/>
    </row>
    <row r="698" spans="19:23" ht="13.2" x14ac:dyDescent="0.3">
      <c r="S698" s="2"/>
      <c r="V698" s="2"/>
      <c r="W698" s="3"/>
    </row>
    <row r="699" spans="19:23" ht="13.2" x14ac:dyDescent="0.3">
      <c r="S699" s="2"/>
      <c r="V699" s="2"/>
      <c r="W699" s="3"/>
    </row>
    <row r="700" spans="19:23" ht="13.2" x14ac:dyDescent="0.3">
      <c r="S700" s="2"/>
      <c r="V700" s="2"/>
      <c r="W700" s="3"/>
    </row>
    <row r="701" spans="19:23" ht="13.2" x14ac:dyDescent="0.3">
      <c r="S701" s="2"/>
      <c r="V701" s="2"/>
      <c r="W701" s="3"/>
    </row>
    <row r="702" spans="19:23" ht="13.2" x14ac:dyDescent="0.3">
      <c r="S702" s="2"/>
      <c r="V702" s="2"/>
      <c r="W702" s="3"/>
    </row>
    <row r="703" spans="19:23" ht="13.2" x14ac:dyDescent="0.3">
      <c r="S703" s="2"/>
      <c r="V703" s="2"/>
      <c r="W703" s="3"/>
    </row>
    <row r="704" spans="19:23" ht="13.2" x14ac:dyDescent="0.3">
      <c r="S704" s="2"/>
      <c r="V704" s="2"/>
      <c r="W704" s="3"/>
    </row>
    <row r="705" spans="19:23" ht="13.2" x14ac:dyDescent="0.3">
      <c r="S705" s="2"/>
      <c r="V705" s="2"/>
      <c r="W705" s="3"/>
    </row>
    <row r="706" spans="19:23" ht="13.2" x14ac:dyDescent="0.3">
      <c r="S706" s="2"/>
      <c r="V706" s="2"/>
      <c r="W706" s="3"/>
    </row>
    <row r="707" spans="19:23" ht="13.2" x14ac:dyDescent="0.3">
      <c r="S707" s="2"/>
      <c r="V707" s="2"/>
      <c r="W707" s="3"/>
    </row>
    <row r="708" spans="19:23" ht="13.2" x14ac:dyDescent="0.3">
      <c r="S708" s="2"/>
      <c r="V708" s="2"/>
      <c r="W708" s="3"/>
    </row>
    <row r="709" spans="19:23" ht="13.2" x14ac:dyDescent="0.3">
      <c r="S709" s="2"/>
      <c r="V709" s="2"/>
      <c r="W709" s="3"/>
    </row>
    <row r="710" spans="19:23" ht="13.2" x14ac:dyDescent="0.3">
      <c r="S710" s="2"/>
      <c r="V710" s="2"/>
      <c r="W710" s="3"/>
    </row>
    <row r="711" spans="19:23" ht="13.2" x14ac:dyDescent="0.3">
      <c r="S711" s="2"/>
      <c r="V711" s="2"/>
      <c r="W711" s="3"/>
    </row>
    <row r="712" spans="19:23" ht="13.2" x14ac:dyDescent="0.3">
      <c r="S712" s="2"/>
      <c r="V712" s="2"/>
      <c r="W712" s="3"/>
    </row>
    <row r="713" spans="19:23" ht="13.2" x14ac:dyDescent="0.3">
      <c r="S713" s="2"/>
      <c r="V713" s="2"/>
      <c r="W713" s="3"/>
    </row>
    <row r="714" spans="19:23" ht="13.2" x14ac:dyDescent="0.3">
      <c r="S714" s="2"/>
      <c r="V714" s="2"/>
      <c r="W714" s="3"/>
    </row>
    <row r="715" spans="19:23" ht="13.2" x14ac:dyDescent="0.3">
      <c r="S715" s="2"/>
      <c r="V715" s="2"/>
      <c r="W715" s="3"/>
    </row>
    <row r="716" spans="19:23" ht="13.2" x14ac:dyDescent="0.3">
      <c r="S716" s="2"/>
      <c r="V716" s="2"/>
      <c r="W716" s="3"/>
    </row>
    <row r="717" spans="19:23" ht="13.2" x14ac:dyDescent="0.3">
      <c r="S717" s="2"/>
      <c r="V717" s="2"/>
      <c r="W717" s="3"/>
    </row>
    <row r="718" spans="19:23" ht="13.2" x14ac:dyDescent="0.3">
      <c r="S718" s="2"/>
      <c r="V718" s="2"/>
      <c r="W718" s="3"/>
    </row>
    <row r="719" spans="19:23" ht="13.2" x14ac:dyDescent="0.3">
      <c r="S719" s="2"/>
      <c r="V719" s="2"/>
      <c r="W719" s="3"/>
    </row>
    <row r="720" spans="19:23" ht="13.2" x14ac:dyDescent="0.3">
      <c r="S720" s="2"/>
      <c r="V720" s="2"/>
      <c r="W720" s="3"/>
    </row>
    <row r="721" spans="19:23" ht="13.2" x14ac:dyDescent="0.3">
      <c r="S721" s="2"/>
      <c r="V721" s="2"/>
      <c r="W721" s="3"/>
    </row>
    <row r="722" spans="19:23" ht="13.2" x14ac:dyDescent="0.3">
      <c r="S722" s="2"/>
      <c r="V722" s="2"/>
      <c r="W722" s="3"/>
    </row>
    <row r="723" spans="19:23" ht="13.2" x14ac:dyDescent="0.3">
      <c r="S723" s="2"/>
      <c r="V723" s="2"/>
      <c r="W723" s="3"/>
    </row>
    <row r="724" spans="19:23" ht="13.2" x14ac:dyDescent="0.3">
      <c r="S724" s="2"/>
      <c r="V724" s="2"/>
      <c r="W724" s="3"/>
    </row>
    <row r="725" spans="19:23" ht="13.2" x14ac:dyDescent="0.3">
      <c r="S725" s="2"/>
      <c r="V725" s="2"/>
      <c r="W725" s="3"/>
    </row>
    <row r="726" spans="19:23" ht="13.2" x14ac:dyDescent="0.3">
      <c r="S726" s="2"/>
      <c r="V726" s="2"/>
      <c r="W726" s="3"/>
    </row>
    <row r="727" spans="19:23" ht="13.2" x14ac:dyDescent="0.3">
      <c r="S727" s="2"/>
      <c r="V727" s="2"/>
      <c r="W727" s="3"/>
    </row>
    <row r="728" spans="19:23" ht="13.2" x14ac:dyDescent="0.3">
      <c r="S728" s="2"/>
      <c r="V728" s="2"/>
      <c r="W728" s="3"/>
    </row>
    <row r="729" spans="19:23" ht="13.2" x14ac:dyDescent="0.3">
      <c r="S729" s="2"/>
      <c r="V729" s="2"/>
      <c r="W729" s="3"/>
    </row>
    <row r="730" spans="19:23" ht="13.2" x14ac:dyDescent="0.3">
      <c r="S730" s="2"/>
      <c r="V730" s="2"/>
      <c r="W730" s="3"/>
    </row>
    <row r="731" spans="19:23" ht="13.2" x14ac:dyDescent="0.3">
      <c r="S731" s="2"/>
      <c r="V731" s="2"/>
      <c r="W731" s="3"/>
    </row>
    <row r="732" spans="19:23" ht="13.2" x14ac:dyDescent="0.3">
      <c r="S732" s="2"/>
      <c r="V732" s="2"/>
      <c r="W732" s="3"/>
    </row>
    <row r="733" spans="19:23" ht="13.2" x14ac:dyDescent="0.3">
      <c r="S733" s="2"/>
      <c r="V733" s="2"/>
      <c r="W733" s="3"/>
    </row>
    <row r="734" spans="19:23" ht="13.2" x14ac:dyDescent="0.3">
      <c r="S734" s="2"/>
      <c r="V734" s="2"/>
      <c r="W734" s="3"/>
    </row>
    <row r="735" spans="19:23" ht="13.2" x14ac:dyDescent="0.3">
      <c r="S735" s="2"/>
      <c r="V735" s="2"/>
      <c r="W735" s="3"/>
    </row>
    <row r="736" spans="19:23" ht="13.2" x14ac:dyDescent="0.3">
      <c r="S736" s="2"/>
      <c r="V736" s="2"/>
      <c r="W736" s="3"/>
    </row>
    <row r="737" spans="19:23" ht="13.2" x14ac:dyDescent="0.3">
      <c r="S737" s="2"/>
      <c r="V737" s="2"/>
      <c r="W737" s="3"/>
    </row>
    <row r="738" spans="19:23" ht="13.2" x14ac:dyDescent="0.3">
      <c r="S738" s="2"/>
      <c r="V738" s="2"/>
      <c r="W738" s="3"/>
    </row>
    <row r="739" spans="19:23" ht="13.2" x14ac:dyDescent="0.3">
      <c r="S739" s="2"/>
      <c r="V739" s="2"/>
      <c r="W739" s="3"/>
    </row>
    <row r="740" spans="19:23" ht="13.2" x14ac:dyDescent="0.3">
      <c r="S740" s="2"/>
      <c r="V740" s="2"/>
      <c r="W740" s="3"/>
    </row>
    <row r="741" spans="19:23" ht="13.2" x14ac:dyDescent="0.3">
      <c r="S741" s="2"/>
      <c r="V741" s="2"/>
      <c r="W741" s="3"/>
    </row>
    <row r="742" spans="19:23" ht="13.2" x14ac:dyDescent="0.3">
      <c r="S742" s="2"/>
      <c r="V742" s="2"/>
      <c r="W742" s="3"/>
    </row>
    <row r="743" spans="19:23" ht="13.2" x14ac:dyDescent="0.3">
      <c r="S743" s="2"/>
      <c r="V743" s="2"/>
      <c r="W743" s="3"/>
    </row>
    <row r="744" spans="19:23" ht="13.2" x14ac:dyDescent="0.3">
      <c r="S744" s="2"/>
      <c r="V744" s="2"/>
      <c r="W744" s="3"/>
    </row>
    <row r="745" spans="19:23" ht="13.2" x14ac:dyDescent="0.3">
      <c r="S745" s="2"/>
      <c r="V745" s="2"/>
      <c r="W745" s="3"/>
    </row>
    <row r="746" spans="19:23" ht="13.2" x14ac:dyDescent="0.3">
      <c r="S746" s="2"/>
      <c r="V746" s="2"/>
      <c r="W746" s="3"/>
    </row>
    <row r="747" spans="19:23" ht="13.2" x14ac:dyDescent="0.3">
      <c r="S747" s="2"/>
      <c r="V747" s="2"/>
      <c r="W747" s="3"/>
    </row>
    <row r="748" spans="19:23" ht="13.2" x14ac:dyDescent="0.3">
      <c r="S748" s="2"/>
      <c r="V748" s="2"/>
      <c r="W748" s="3"/>
    </row>
    <row r="749" spans="19:23" ht="13.2" x14ac:dyDescent="0.3">
      <c r="S749" s="2"/>
      <c r="V749" s="2"/>
      <c r="W749" s="3"/>
    </row>
    <row r="750" spans="19:23" ht="13.2" x14ac:dyDescent="0.3">
      <c r="S750" s="2"/>
      <c r="V750" s="2"/>
      <c r="W750" s="3"/>
    </row>
    <row r="751" spans="19:23" ht="13.2" x14ac:dyDescent="0.3">
      <c r="S751" s="2"/>
      <c r="V751" s="2"/>
      <c r="W751" s="3"/>
    </row>
    <row r="752" spans="19:23" ht="13.2" x14ac:dyDescent="0.3">
      <c r="S752" s="2"/>
      <c r="V752" s="2"/>
      <c r="W752" s="3"/>
    </row>
    <row r="753" spans="19:23" ht="13.2" x14ac:dyDescent="0.3">
      <c r="S753" s="2"/>
      <c r="V753" s="2"/>
      <c r="W753" s="3"/>
    </row>
    <row r="754" spans="19:23" ht="13.2" x14ac:dyDescent="0.3">
      <c r="S754" s="2"/>
      <c r="V754" s="2"/>
      <c r="W754" s="3"/>
    </row>
    <row r="755" spans="19:23" ht="13.2" x14ac:dyDescent="0.3">
      <c r="S755" s="2"/>
      <c r="V755" s="2"/>
      <c r="W755" s="3"/>
    </row>
    <row r="756" spans="19:23" ht="13.2" x14ac:dyDescent="0.3">
      <c r="S756" s="2"/>
      <c r="V756" s="2"/>
      <c r="W756" s="3"/>
    </row>
    <row r="757" spans="19:23" ht="13.2" x14ac:dyDescent="0.3">
      <c r="S757" s="2"/>
      <c r="V757" s="2"/>
      <c r="W757" s="3"/>
    </row>
    <row r="758" spans="19:23" ht="13.2" x14ac:dyDescent="0.3">
      <c r="S758" s="2"/>
      <c r="V758" s="2"/>
      <c r="W758" s="3"/>
    </row>
    <row r="759" spans="19:23" ht="13.2" x14ac:dyDescent="0.3">
      <c r="S759" s="2"/>
      <c r="V759" s="2"/>
      <c r="W759" s="3"/>
    </row>
    <row r="760" spans="19:23" ht="13.2" x14ac:dyDescent="0.3">
      <c r="S760" s="2"/>
      <c r="V760" s="2"/>
      <c r="W760" s="3"/>
    </row>
    <row r="761" spans="19:23" ht="13.2" x14ac:dyDescent="0.3">
      <c r="S761" s="2"/>
      <c r="V761" s="2"/>
      <c r="W761" s="3"/>
    </row>
    <row r="762" spans="19:23" ht="13.2" x14ac:dyDescent="0.3">
      <c r="S762" s="2"/>
      <c r="V762" s="2"/>
      <c r="W762" s="3"/>
    </row>
    <row r="763" spans="19:23" ht="13.2" x14ac:dyDescent="0.3">
      <c r="S763" s="2"/>
      <c r="V763" s="2"/>
      <c r="W763" s="3"/>
    </row>
    <row r="764" spans="19:23" ht="13.2" x14ac:dyDescent="0.3">
      <c r="S764" s="2"/>
      <c r="V764" s="2"/>
      <c r="W764" s="3"/>
    </row>
    <row r="765" spans="19:23" ht="13.2" x14ac:dyDescent="0.3">
      <c r="S765" s="2"/>
      <c r="V765" s="2"/>
      <c r="W765" s="3"/>
    </row>
    <row r="766" spans="19:23" ht="13.2" x14ac:dyDescent="0.3">
      <c r="S766" s="2"/>
      <c r="V766" s="2"/>
      <c r="W766" s="3"/>
    </row>
    <row r="767" spans="19:23" ht="13.2" x14ac:dyDescent="0.3">
      <c r="S767" s="2"/>
      <c r="V767" s="2"/>
      <c r="W767" s="3"/>
    </row>
    <row r="768" spans="19:23" ht="13.2" x14ac:dyDescent="0.3">
      <c r="S768" s="2"/>
      <c r="V768" s="2"/>
      <c r="W768" s="3"/>
    </row>
    <row r="769" spans="19:23" ht="13.2" x14ac:dyDescent="0.3">
      <c r="S769" s="2"/>
      <c r="V769" s="2"/>
      <c r="W769" s="3"/>
    </row>
    <row r="770" spans="19:23" ht="13.2" x14ac:dyDescent="0.3">
      <c r="S770" s="2"/>
      <c r="V770" s="2"/>
      <c r="W770" s="3"/>
    </row>
    <row r="771" spans="19:23" ht="13.2" x14ac:dyDescent="0.3">
      <c r="S771" s="2"/>
      <c r="V771" s="2"/>
      <c r="W771" s="3"/>
    </row>
    <row r="772" spans="19:23" ht="13.2" x14ac:dyDescent="0.3">
      <c r="S772" s="2"/>
      <c r="V772" s="2"/>
      <c r="W772" s="3"/>
    </row>
    <row r="773" spans="19:23" ht="13.2" x14ac:dyDescent="0.3">
      <c r="S773" s="2"/>
      <c r="V773" s="2"/>
      <c r="W773" s="3"/>
    </row>
    <row r="774" spans="19:23" ht="13.2" x14ac:dyDescent="0.3">
      <c r="S774" s="2"/>
      <c r="V774" s="2"/>
      <c r="W774" s="3"/>
    </row>
    <row r="775" spans="19:23" ht="13.2" x14ac:dyDescent="0.3">
      <c r="S775" s="2"/>
      <c r="V775" s="2"/>
      <c r="W775" s="3"/>
    </row>
    <row r="776" spans="19:23" ht="13.2" x14ac:dyDescent="0.3">
      <c r="S776" s="2"/>
      <c r="V776" s="2"/>
      <c r="W776" s="3"/>
    </row>
    <row r="777" spans="19:23" ht="13.2" x14ac:dyDescent="0.3">
      <c r="S777" s="2"/>
      <c r="V777" s="2"/>
      <c r="W777" s="3"/>
    </row>
    <row r="778" spans="19:23" ht="13.2" x14ac:dyDescent="0.3">
      <c r="S778" s="2"/>
      <c r="V778" s="2"/>
      <c r="W778" s="3"/>
    </row>
    <row r="779" spans="19:23" ht="13.2" x14ac:dyDescent="0.3">
      <c r="S779" s="2"/>
      <c r="V779" s="2"/>
      <c r="W779" s="3"/>
    </row>
    <row r="780" spans="19:23" ht="13.2" x14ac:dyDescent="0.3">
      <c r="S780" s="2"/>
      <c r="V780" s="2"/>
      <c r="W780" s="3"/>
    </row>
    <row r="781" spans="19:23" ht="13.2" x14ac:dyDescent="0.3">
      <c r="S781" s="2"/>
      <c r="V781" s="2"/>
      <c r="W781" s="3"/>
    </row>
    <row r="782" spans="19:23" ht="13.2" x14ac:dyDescent="0.3">
      <c r="S782" s="2"/>
      <c r="V782" s="2"/>
      <c r="W782" s="3"/>
    </row>
    <row r="783" spans="19:23" ht="13.2" x14ac:dyDescent="0.3">
      <c r="S783" s="2"/>
      <c r="V783" s="2"/>
      <c r="W783" s="3"/>
    </row>
    <row r="784" spans="19:23" ht="13.2" x14ac:dyDescent="0.3">
      <c r="S784" s="2"/>
      <c r="V784" s="2"/>
      <c r="W784" s="3"/>
    </row>
    <row r="785" spans="19:23" ht="13.2" x14ac:dyDescent="0.3">
      <c r="S785" s="2"/>
      <c r="V785" s="2"/>
      <c r="W785" s="3"/>
    </row>
    <row r="786" spans="19:23" ht="13.2" x14ac:dyDescent="0.3">
      <c r="S786" s="2"/>
      <c r="V786" s="2"/>
      <c r="W786" s="3"/>
    </row>
    <row r="787" spans="19:23" ht="13.2" x14ac:dyDescent="0.3">
      <c r="S787" s="2"/>
      <c r="V787" s="2"/>
      <c r="W787" s="3"/>
    </row>
    <row r="788" spans="19:23" ht="13.2" x14ac:dyDescent="0.3">
      <c r="S788" s="2"/>
      <c r="V788" s="2"/>
      <c r="W788" s="3"/>
    </row>
    <row r="789" spans="19:23" ht="13.2" x14ac:dyDescent="0.3">
      <c r="S789" s="2"/>
      <c r="V789" s="2"/>
      <c r="W789" s="3"/>
    </row>
    <row r="790" spans="19:23" ht="13.2" x14ac:dyDescent="0.3">
      <c r="S790" s="2"/>
      <c r="V790" s="2"/>
      <c r="W790" s="3"/>
    </row>
    <row r="791" spans="19:23" ht="13.2" x14ac:dyDescent="0.3">
      <c r="S791" s="2"/>
      <c r="V791" s="2"/>
      <c r="W791" s="3"/>
    </row>
    <row r="792" spans="19:23" ht="13.2" x14ac:dyDescent="0.3">
      <c r="S792" s="2"/>
      <c r="V792" s="2"/>
      <c r="W792" s="3"/>
    </row>
    <row r="793" spans="19:23" ht="13.2" x14ac:dyDescent="0.3">
      <c r="S793" s="2"/>
      <c r="V793" s="2"/>
      <c r="W793" s="3"/>
    </row>
    <row r="794" spans="19:23" ht="13.2" x14ac:dyDescent="0.3">
      <c r="S794" s="2"/>
      <c r="V794" s="2"/>
      <c r="W794" s="3"/>
    </row>
    <row r="795" spans="19:23" ht="13.2" x14ac:dyDescent="0.3">
      <c r="S795" s="2"/>
      <c r="V795" s="2"/>
      <c r="W795" s="3"/>
    </row>
    <row r="796" spans="19:23" ht="13.2" x14ac:dyDescent="0.3">
      <c r="S796" s="2"/>
      <c r="V796" s="2"/>
      <c r="W796" s="3"/>
    </row>
    <row r="797" spans="19:23" ht="13.2" x14ac:dyDescent="0.3">
      <c r="S797" s="2"/>
      <c r="V797" s="2"/>
      <c r="W797" s="3"/>
    </row>
    <row r="798" spans="19:23" ht="13.2" x14ac:dyDescent="0.3">
      <c r="S798" s="2"/>
      <c r="V798" s="2"/>
      <c r="W798" s="3"/>
    </row>
    <row r="799" spans="19:23" ht="13.2" x14ac:dyDescent="0.3">
      <c r="S799" s="2"/>
      <c r="V799" s="2"/>
      <c r="W799" s="3"/>
    </row>
    <row r="800" spans="19:23" ht="13.2" x14ac:dyDescent="0.3">
      <c r="S800" s="2"/>
      <c r="V800" s="2"/>
      <c r="W800" s="3"/>
    </row>
    <row r="801" spans="19:23" ht="13.2" x14ac:dyDescent="0.3">
      <c r="S801" s="2"/>
      <c r="V801" s="2"/>
      <c r="W801" s="3"/>
    </row>
    <row r="802" spans="19:23" ht="13.2" x14ac:dyDescent="0.3">
      <c r="S802" s="2"/>
      <c r="V802" s="2"/>
      <c r="W802" s="3"/>
    </row>
    <row r="803" spans="19:23" ht="13.2" x14ac:dyDescent="0.3">
      <c r="S803" s="2"/>
      <c r="V803" s="2"/>
      <c r="W803" s="3"/>
    </row>
    <row r="804" spans="19:23" ht="13.2" x14ac:dyDescent="0.3">
      <c r="S804" s="2"/>
      <c r="V804" s="2"/>
      <c r="W804" s="3"/>
    </row>
    <row r="805" spans="19:23" ht="13.2" x14ac:dyDescent="0.3">
      <c r="S805" s="2"/>
      <c r="V805" s="2"/>
      <c r="W805" s="3"/>
    </row>
    <row r="806" spans="19:23" ht="13.2" x14ac:dyDescent="0.3">
      <c r="S806" s="2"/>
      <c r="V806" s="2"/>
      <c r="W806" s="3"/>
    </row>
    <row r="807" spans="19:23" ht="13.2" x14ac:dyDescent="0.3">
      <c r="S807" s="2"/>
      <c r="V807" s="2"/>
      <c r="W807" s="3"/>
    </row>
    <row r="808" spans="19:23" ht="13.2" x14ac:dyDescent="0.3">
      <c r="S808" s="2"/>
      <c r="V808" s="2"/>
      <c r="W808" s="3"/>
    </row>
    <row r="809" spans="19:23" ht="13.2" x14ac:dyDescent="0.3">
      <c r="S809" s="2"/>
      <c r="V809" s="2"/>
      <c r="W809" s="3"/>
    </row>
    <row r="810" spans="19:23" ht="13.2" x14ac:dyDescent="0.3">
      <c r="S810" s="2"/>
      <c r="V810" s="2"/>
      <c r="W810" s="3"/>
    </row>
    <row r="811" spans="19:23" ht="13.2" x14ac:dyDescent="0.3">
      <c r="S811" s="2"/>
      <c r="V811" s="2"/>
      <c r="W811" s="3"/>
    </row>
    <row r="812" spans="19:23" ht="13.2" x14ac:dyDescent="0.3">
      <c r="S812" s="2"/>
      <c r="V812" s="2"/>
      <c r="W812" s="3"/>
    </row>
    <row r="813" spans="19:23" ht="13.2" x14ac:dyDescent="0.3">
      <c r="S813" s="2"/>
      <c r="V813" s="2"/>
      <c r="W813" s="3"/>
    </row>
    <row r="814" spans="19:23" ht="13.2" x14ac:dyDescent="0.3">
      <c r="S814" s="2"/>
      <c r="V814" s="2"/>
      <c r="W814" s="3"/>
    </row>
    <row r="815" spans="19:23" ht="13.2" x14ac:dyDescent="0.3">
      <c r="S815" s="2"/>
      <c r="V815" s="2"/>
      <c r="W815" s="3"/>
    </row>
    <row r="816" spans="19:23" ht="13.2" x14ac:dyDescent="0.3">
      <c r="S816" s="2"/>
      <c r="V816" s="2"/>
      <c r="W816" s="3"/>
    </row>
    <row r="817" spans="19:23" ht="13.2" x14ac:dyDescent="0.3">
      <c r="S817" s="2"/>
      <c r="V817" s="2"/>
      <c r="W817" s="3"/>
    </row>
    <row r="818" spans="19:23" ht="13.2" x14ac:dyDescent="0.3">
      <c r="S818" s="2"/>
      <c r="V818" s="2"/>
      <c r="W818" s="3"/>
    </row>
    <row r="819" spans="19:23" ht="13.2" x14ac:dyDescent="0.3">
      <c r="S819" s="2"/>
      <c r="V819" s="2"/>
      <c r="W819" s="3"/>
    </row>
    <row r="820" spans="19:23" ht="13.2" x14ac:dyDescent="0.3">
      <c r="S820" s="2"/>
      <c r="V820" s="2"/>
      <c r="W820" s="3"/>
    </row>
    <row r="821" spans="19:23" ht="13.2" x14ac:dyDescent="0.3">
      <c r="S821" s="2"/>
      <c r="V821" s="2"/>
      <c r="W821" s="3"/>
    </row>
    <row r="822" spans="19:23" ht="13.2" x14ac:dyDescent="0.3">
      <c r="S822" s="2"/>
      <c r="V822" s="2"/>
      <c r="W822" s="3"/>
    </row>
    <row r="823" spans="19:23" ht="13.2" x14ac:dyDescent="0.3">
      <c r="S823" s="2"/>
      <c r="V823" s="2"/>
      <c r="W823" s="3"/>
    </row>
    <row r="824" spans="19:23" ht="13.2" x14ac:dyDescent="0.3">
      <c r="S824" s="2"/>
      <c r="V824" s="2"/>
      <c r="W824" s="3"/>
    </row>
    <row r="825" spans="19:23" ht="13.2" x14ac:dyDescent="0.3">
      <c r="S825" s="2"/>
      <c r="V825" s="2"/>
      <c r="W825" s="3"/>
    </row>
    <row r="826" spans="19:23" ht="13.2" x14ac:dyDescent="0.3">
      <c r="S826" s="2"/>
      <c r="V826" s="2"/>
      <c r="W826" s="3"/>
    </row>
    <row r="827" spans="19:23" ht="13.2" x14ac:dyDescent="0.3">
      <c r="S827" s="2"/>
      <c r="V827" s="2"/>
      <c r="W827" s="3"/>
    </row>
    <row r="828" spans="19:23" ht="13.2" x14ac:dyDescent="0.3">
      <c r="S828" s="2"/>
      <c r="V828" s="2"/>
      <c r="W828" s="3"/>
    </row>
    <row r="829" spans="19:23" ht="13.2" x14ac:dyDescent="0.3">
      <c r="S829" s="2"/>
      <c r="V829" s="2"/>
      <c r="W829" s="3"/>
    </row>
    <row r="830" spans="19:23" ht="13.2" x14ac:dyDescent="0.3">
      <c r="S830" s="2"/>
      <c r="V830" s="2"/>
      <c r="W830" s="3"/>
    </row>
    <row r="831" spans="19:23" ht="13.2" x14ac:dyDescent="0.3">
      <c r="S831" s="2"/>
      <c r="V831" s="2"/>
      <c r="W831" s="3"/>
    </row>
    <row r="832" spans="19:23" ht="13.2" x14ac:dyDescent="0.3">
      <c r="S832" s="2"/>
      <c r="V832" s="2"/>
      <c r="W832" s="3"/>
    </row>
    <row r="833" spans="19:23" ht="13.2" x14ac:dyDescent="0.3">
      <c r="S833" s="2"/>
      <c r="V833" s="2"/>
      <c r="W833" s="3"/>
    </row>
    <row r="834" spans="19:23" ht="13.2" x14ac:dyDescent="0.3">
      <c r="S834" s="2"/>
      <c r="V834" s="2"/>
      <c r="W834" s="3"/>
    </row>
    <row r="835" spans="19:23" ht="13.2" x14ac:dyDescent="0.3">
      <c r="S835" s="2"/>
      <c r="V835" s="2"/>
      <c r="W835" s="3"/>
    </row>
    <row r="836" spans="19:23" ht="13.2" x14ac:dyDescent="0.3">
      <c r="S836" s="2"/>
      <c r="V836" s="2"/>
      <c r="W836" s="3"/>
    </row>
    <row r="837" spans="19:23" ht="13.2" x14ac:dyDescent="0.3">
      <c r="S837" s="2"/>
      <c r="V837" s="2"/>
      <c r="W837" s="3"/>
    </row>
    <row r="838" spans="19:23" ht="13.2" x14ac:dyDescent="0.3">
      <c r="S838" s="2"/>
      <c r="V838" s="2"/>
      <c r="W838" s="3"/>
    </row>
    <row r="839" spans="19:23" ht="13.2" x14ac:dyDescent="0.3">
      <c r="S839" s="2"/>
      <c r="V839" s="2"/>
      <c r="W839" s="3"/>
    </row>
    <row r="840" spans="19:23" ht="13.2" x14ac:dyDescent="0.3">
      <c r="S840" s="2"/>
      <c r="V840" s="2"/>
      <c r="W840" s="3"/>
    </row>
    <row r="841" spans="19:23" ht="13.2" x14ac:dyDescent="0.3">
      <c r="S841" s="2"/>
      <c r="V841" s="2"/>
      <c r="W841" s="3"/>
    </row>
    <row r="842" spans="19:23" ht="13.2" x14ac:dyDescent="0.3">
      <c r="S842" s="2"/>
      <c r="V842" s="2"/>
      <c r="W842" s="3"/>
    </row>
    <row r="843" spans="19:23" ht="13.2" x14ac:dyDescent="0.3">
      <c r="S843" s="2"/>
      <c r="V843" s="2"/>
      <c r="W843" s="3"/>
    </row>
    <row r="844" spans="19:23" ht="13.2" x14ac:dyDescent="0.3">
      <c r="S844" s="2"/>
      <c r="V844" s="2"/>
      <c r="W844" s="3"/>
    </row>
    <row r="845" spans="19:23" ht="13.2" x14ac:dyDescent="0.3">
      <c r="S845" s="2"/>
      <c r="V845" s="2"/>
      <c r="W845" s="3"/>
    </row>
    <row r="846" spans="19:23" ht="13.2" x14ac:dyDescent="0.3">
      <c r="S846" s="2"/>
      <c r="V846" s="2"/>
      <c r="W846" s="3"/>
    </row>
    <row r="847" spans="19:23" ht="13.2" x14ac:dyDescent="0.3">
      <c r="S847" s="2"/>
      <c r="V847" s="2"/>
      <c r="W847" s="3"/>
    </row>
    <row r="848" spans="19:23" ht="13.2" x14ac:dyDescent="0.3">
      <c r="S848" s="2"/>
      <c r="V848" s="2"/>
      <c r="W848" s="3"/>
    </row>
    <row r="849" spans="19:23" ht="13.2" x14ac:dyDescent="0.3">
      <c r="S849" s="2"/>
      <c r="V849" s="2"/>
      <c r="W849" s="3"/>
    </row>
    <row r="850" spans="19:23" ht="13.2" x14ac:dyDescent="0.3">
      <c r="S850" s="2"/>
      <c r="V850" s="2"/>
      <c r="W850" s="3"/>
    </row>
    <row r="851" spans="19:23" ht="13.2" x14ac:dyDescent="0.3">
      <c r="S851" s="2"/>
      <c r="V851" s="2"/>
      <c r="W851" s="3"/>
    </row>
    <row r="852" spans="19:23" ht="13.2" x14ac:dyDescent="0.3">
      <c r="S852" s="2"/>
      <c r="V852" s="2"/>
      <c r="W852" s="3"/>
    </row>
    <row r="853" spans="19:23" ht="13.2" x14ac:dyDescent="0.3">
      <c r="S853" s="2"/>
      <c r="V853" s="2"/>
      <c r="W853" s="3"/>
    </row>
    <row r="854" spans="19:23" ht="13.2" x14ac:dyDescent="0.3">
      <c r="S854" s="2"/>
      <c r="V854" s="2"/>
      <c r="W854" s="3"/>
    </row>
    <row r="855" spans="19:23" ht="13.2" x14ac:dyDescent="0.3">
      <c r="S855" s="2"/>
      <c r="V855" s="2"/>
      <c r="W855" s="3"/>
    </row>
    <row r="856" spans="19:23" ht="13.2" x14ac:dyDescent="0.3">
      <c r="S856" s="2"/>
      <c r="V856" s="2"/>
      <c r="W856" s="3"/>
    </row>
    <row r="857" spans="19:23" ht="13.2" x14ac:dyDescent="0.3">
      <c r="S857" s="2"/>
      <c r="V857" s="2"/>
      <c r="W857" s="3"/>
    </row>
    <row r="858" spans="19:23" ht="13.2" x14ac:dyDescent="0.3">
      <c r="S858" s="2"/>
      <c r="V858" s="2"/>
      <c r="W858" s="3"/>
    </row>
    <row r="859" spans="19:23" ht="13.2" x14ac:dyDescent="0.3">
      <c r="S859" s="2"/>
      <c r="V859" s="2"/>
      <c r="W859" s="3"/>
    </row>
    <row r="860" spans="19:23" ht="13.2" x14ac:dyDescent="0.3">
      <c r="S860" s="2"/>
      <c r="V860" s="2"/>
      <c r="W860" s="3"/>
    </row>
    <row r="861" spans="19:23" ht="13.2" x14ac:dyDescent="0.3">
      <c r="S861" s="2"/>
      <c r="V861" s="2"/>
      <c r="W861" s="3"/>
    </row>
    <row r="862" spans="19:23" ht="13.2" x14ac:dyDescent="0.3">
      <c r="S862" s="2"/>
      <c r="V862" s="2"/>
      <c r="W862" s="3"/>
    </row>
    <row r="863" spans="19:23" ht="13.2" x14ac:dyDescent="0.3">
      <c r="S863" s="2"/>
      <c r="V863" s="2"/>
      <c r="W863" s="3"/>
    </row>
    <row r="864" spans="19:23" ht="13.2" x14ac:dyDescent="0.3">
      <c r="S864" s="2"/>
      <c r="V864" s="2"/>
      <c r="W864" s="3"/>
    </row>
    <row r="865" spans="19:23" ht="13.2" x14ac:dyDescent="0.3">
      <c r="S865" s="2"/>
      <c r="V865" s="2"/>
      <c r="W865" s="3"/>
    </row>
    <row r="866" spans="19:23" ht="13.2" x14ac:dyDescent="0.3">
      <c r="S866" s="2"/>
      <c r="V866" s="2"/>
      <c r="W866" s="3"/>
    </row>
    <row r="867" spans="19:23" ht="13.2" x14ac:dyDescent="0.3">
      <c r="S867" s="2"/>
      <c r="V867" s="2"/>
      <c r="W867" s="3"/>
    </row>
    <row r="868" spans="19:23" ht="13.2" x14ac:dyDescent="0.3">
      <c r="S868" s="2"/>
      <c r="V868" s="2"/>
      <c r="W868" s="3"/>
    </row>
    <row r="869" spans="19:23" ht="13.2" x14ac:dyDescent="0.3">
      <c r="S869" s="2"/>
      <c r="V869" s="2"/>
      <c r="W869" s="3"/>
    </row>
    <row r="870" spans="19:23" ht="13.2" x14ac:dyDescent="0.3">
      <c r="S870" s="2"/>
      <c r="V870" s="2"/>
      <c r="W870" s="3"/>
    </row>
    <row r="871" spans="19:23" ht="13.2" x14ac:dyDescent="0.3">
      <c r="S871" s="2"/>
      <c r="V871" s="2"/>
      <c r="W871" s="3"/>
    </row>
    <row r="872" spans="19:23" ht="13.2" x14ac:dyDescent="0.3">
      <c r="S872" s="2"/>
      <c r="V872" s="2"/>
      <c r="W872" s="3"/>
    </row>
    <row r="873" spans="19:23" ht="13.2" x14ac:dyDescent="0.3">
      <c r="S873" s="2"/>
      <c r="V873" s="2"/>
      <c r="W873" s="3"/>
    </row>
    <row r="874" spans="19:23" ht="13.2" x14ac:dyDescent="0.3">
      <c r="S874" s="2"/>
      <c r="V874" s="2"/>
      <c r="W874" s="3"/>
    </row>
    <row r="875" spans="19:23" ht="13.2" x14ac:dyDescent="0.3">
      <c r="S875" s="2"/>
      <c r="V875" s="2"/>
      <c r="W875" s="3"/>
    </row>
    <row r="876" spans="19:23" ht="13.2" x14ac:dyDescent="0.3">
      <c r="S876" s="2"/>
      <c r="V876" s="2"/>
      <c r="W876" s="3"/>
    </row>
    <row r="877" spans="19:23" ht="13.2" x14ac:dyDescent="0.3">
      <c r="S877" s="2"/>
      <c r="V877" s="2"/>
      <c r="W877" s="3"/>
    </row>
    <row r="878" spans="19:23" ht="13.2" x14ac:dyDescent="0.3">
      <c r="S878" s="2"/>
      <c r="V878" s="2"/>
      <c r="W878" s="3"/>
    </row>
    <row r="879" spans="19:23" ht="13.2" x14ac:dyDescent="0.3">
      <c r="S879" s="2"/>
      <c r="V879" s="2"/>
      <c r="W879" s="3"/>
    </row>
    <row r="880" spans="19:23" ht="13.2" x14ac:dyDescent="0.3">
      <c r="S880" s="2"/>
      <c r="V880" s="2"/>
      <c r="W880" s="3"/>
    </row>
    <row r="881" spans="19:23" ht="13.2" x14ac:dyDescent="0.3">
      <c r="S881" s="2"/>
      <c r="V881" s="2"/>
      <c r="W881" s="3"/>
    </row>
    <row r="882" spans="19:23" ht="13.2" x14ac:dyDescent="0.3">
      <c r="S882" s="2"/>
      <c r="V882" s="2"/>
      <c r="W882" s="3"/>
    </row>
    <row r="883" spans="19:23" ht="13.2" x14ac:dyDescent="0.3">
      <c r="S883" s="2"/>
      <c r="V883" s="2"/>
      <c r="W883" s="3"/>
    </row>
    <row r="884" spans="19:23" ht="13.2" x14ac:dyDescent="0.3">
      <c r="S884" s="2"/>
      <c r="V884" s="2"/>
      <c r="W884" s="3"/>
    </row>
    <row r="885" spans="19:23" ht="13.2" x14ac:dyDescent="0.3">
      <c r="S885" s="2"/>
      <c r="V885" s="2"/>
      <c r="W885" s="3"/>
    </row>
    <row r="886" spans="19:23" ht="13.2" x14ac:dyDescent="0.3">
      <c r="S886" s="2"/>
      <c r="V886" s="2"/>
      <c r="W886" s="3"/>
    </row>
    <row r="887" spans="19:23" ht="13.2" x14ac:dyDescent="0.3">
      <c r="S887" s="2"/>
      <c r="V887" s="2"/>
      <c r="W887" s="3"/>
    </row>
    <row r="888" spans="19:23" ht="13.2" x14ac:dyDescent="0.3">
      <c r="S888" s="2"/>
      <c r="V888" s="2"/>
      <c r="W888" s="3"/>
    </row>
    <row r="889" spans="19:23" ht="13.2" x14ac:dyDescent="0.3">
      <c r="S889" s="2"/>
      <c r="V889" s="2"/>
      <c r="W889" s="3"/>
    </row>
    <row r="890" spans="19:23" ht="13.2" x14ac:dyDescent="0.3">
      <c r="S890" s="2"/>
      <c r="V890" s="2"/>
      <c r="W890" s="3"/>
    </row>
    <row r="891" spans="19:23" ht="13.2" x14ac:dyDescent="0.3">
      <c r="S891" s="2"/>
      <c r="V891" s="2"/>
      <c r="W891" s="3"/>
    </row>
    <row r="892" spans="19:23" ht="13.2" x14ac:dyDescent="0.3">
      <c r="S892" s="2"/>
      <c r="V892" s="2"/>
      <c r="W892" s="3"/>
    </row>
    <row r="893" spans="19:23" ht="13.2" x14ac:dyDescent="0.3">
      <c r="S893" s="2"/>
      <c r="V893" s="2"/>
      <c r="W893" s="3"/>
    </row>
    <row r="894" spans="19:23" ht="13.2" x14ac:dyDescent="0.3">
      <c r="S894" s="2"/>
      <c r="V894" s="2"/>
      <c r="W894" s="3"/>
    </row>
    <row r="895" spans="19:23" ht="13.2" x14ac:dyDescent="0.3">
      <c r="S895" s="2"/>
      <c r="V895" s="2"/>
      <c r="W895" s="3"/>
    </row>
    <row r="896" spans="19:23" ht="13.2" x14ac:dyDescent="0.3">
      <c r="S896" s="2"/>
      <c r="V896" s="2"/>
      <c r="W896" s="3"/>
    </row>
    <row r="897" spans="19:23" ht="13.2" x14ac:dyDescent="0.3">
      <c r="S897" s="2"/>
      <c r="V897" s="2"/>
      <c r="W897" s="3"/>
    </row>
    <row r="898" spans="19:23" ht="13.2" x14ac:dyDescent="0.3">
      <c r="S898" s="2"/>
      <c r="V898" s="2"/>
      <c r="W898" s="3"/>
    </row>
    <row r="899" spans="19:23" ht="13.2" x14ac:dyDescent="0.3">
      <c r="S899" s="2"/>
      <c r="V899" s="2"/>
      <c r="W899" s="3"/>
    </row>
    <row r="900" spans="19:23" ht="13.2" x14ac:dyDescent="0.3">
      <c r="S900" s="2"/>
      <c r="V900" s="2"/>
      <c r="W900" s="3"/>
    </row>
    <row r="901" spans="19:23" ht="13.2" x14ac:dyDescent="0.3">
      <c r="S901" s="2"/>
      <c r="V901" s="2"/>
      <c r="W901" s="3"/>
    </row>
    <row r="902" spans="19:23" ht="13.2" x14ac:dyDescent="0.3">
      <c r="W902" s="3"/>
    </row>
    <row r="903" spans="19:23" ht="13.2" x14ac:dyDescent="0.3">
      <c r="W903" s="3"/>
    </row>
    <row r="904" spans="19:23" ht="13.2" x14ac:dyDescent="0.3">
      <c r="W904" s="3"/>
    </row>
    <row r="905" spans="19:23" ht="13.2" x14ac:dyDescent="0.3">
      <c r="W905" s="3"/>
    </row>
    <row r="906" spans="19:23" ht="13.2" x14ac:dyDescent="0.3">
      <c r="W906" s="3"/>
    </row>
    <row r="907" spans="19:23" ht="13.2" x14ac:dyDescent="0.3">
      <c r="W907" s="3"/>
    </row>
    <row r="908" spans="19:23" ht="13.2" x14ac:dyDescent="0.3">
      <c r="W908" s="3"/>
    </row>
    <row r="909" spans="19:23" ht="13.2" x14ac:dyDescent="0.3">
      <c r="W909" s="3"/>
    </row>
    <row r="910" spans="19:23" ht="13.2" x14ac:dyDescent="0.3">
      <c r="W910" s="3"/>
    </row>
    <row r="911" spans="19:23" ht="13.2" x14ac:dyDescent="0.3">
      <c r="W911" s="3"/>
    </row>
    <row r="912" spans="19:23" ht="13.2" x14ac:dyDescent="0.3">
      <c r="W912" s="3"/>
    </row>
    <row r="913" spans="23:23" ht="13.2" x14ac:dyDescent="0.3">
      <c r="W913" s="3"/>
    </row>
    <row r="914" spans="23:23" ht="13.2" x14ac:dyDescent="0.3">
      <c r="W914" s="3"/>
    </row>
    <row r="915" spans="23:23" ht="13.2" x14ac:dyDescent="0.3">
      <c r="W915" s="3"/>
    </row>
    <row r="916" spans="23:23" ht="13.2" x14ac:dyDescent="0.3">
      <c r="W916" s="3"/>
    </row>
    <row r="917" spans="23:23" ht="13.2" x14ac:dyDescent="0.3">
      <c r="W917" s="3"/>
    </row>
    <row r="918" spans="23:23" ht="13.2" x14ac:dyDescent="0.3">
      <c r="W918" s="3"/>
    </row>
    <row r="919" spans="23:23" ht="13.2" x14ac:dyDescent="0.3">
      <c r="W919" s="3"/>
    </row>
    <row r="920" spans="23:23" ht="13.2" x14ac:dyDescent="0.3">
      <c r="W920" s="3"/>
    </row>
    <row r="921" spans="23:23" ht="13.2" x14ac:dyDescent="0.3">
      <c r="W921" s="3"/>
    </row>
    <row r="922" spans="23:23" ht="13.2" x14ac:dyDescent="0.3">
      <c r="W922" s="3"/>
    </row>
    <row r="923" spans="23:23" ht="13.2" x14ac:dyDescent="0.3">
      <c r="W923" s="3"/>
    </row>
    <row r="924" spans="23:23" ht="13.2" x14ac:dyDescent="0.3">
      <c r="W924" s="3"/>
    </row>
    <row r="925" spans="23:23" ht="13.2" x14ac:dyDescent="0.3">
      <c r="W925" s="3"/>
    </row>
    <row r="926" spans="23:23" ht="13.2" x14ac:dyDescent="0.3">
      <c r="W926" s="3"/>
    </row>
    <row r="927" spans="23:23" ht="13.2" x14ac:dyDescent="0.3">
      <c r="W927" s="3"/>
    </row>
    <row r="928" spans="23:23" ht="13.2" x14ac:dyDescent="0.3">
      <c r="W928" s="3"/>
    </row>
    <row r="929" spans="23:23" ht="13.2" x14ac:dyDescent="0.3">
      <c r="W929" s="3"/>
    </row>
    <row r="930" spans="23:23" ht="13.2" x14ac:dyDescent="0.3">
      <c r="W930" s="3"/>
    </row>
    <row r="931" spans="23:23" ht="13.2" x14ac:dyDescent="0.3">
      <c r="W931" s="3"/>
    </row>
    <row r="932" spans="23:23" ht="13.2" x14ac:dyDescent="0.3">
      <c r="W932" s="3"/>
    </row>
    <row r="933" spans="23:23" ht="13.2" x14ac:dyDescent="0.3">
      <c r="W933" s="3"/>
    </row>
    <row r="934" spans="23:23" ht="13.2" x14ac:dyDescent="0.3">
      <c r="W934" s="3"/>
    </row>
    <row r="935" spans="23:23" ht="13.2" x14ac:dyDescent="0.3">
      <c r="W935" s="3"/>
    </row>
    <row r="936" spans="23:23" ht="13.2" x14ac:dyDescent="0.3">
      <c r="W936" s="3"/>
    </row>
    <row r="937" spans="23:23" ht="13.2" x14ac:dyDescent="0.3">
      <c r="W937" s="3"/>
    </row>
    <row r="938" spans="23:23" ht="13.2" x14ac:dyDescent="0.3">
      <c r="W938" s="3"/>
    </row>
    <row r="939" spans="23:23" ht="13.2" x14ac:dyDescent="0.3">
      <c r="W939" s="3"/>
    </row>
    <row r="940" spans="23:23" ht="13.2" x14ac:dyDescent="0.3">
      <c r="W940" s="3"/>
    </row>
    <row r="941" spans="23:23" ht="13.2" x14ac:dyDescent="0.3">
      <c r="W941" s="3"/>
    </row>
    <row r="942" spans="23:23" ht="13.2" x14ac:dyDescent="0.3">
      <c r="W942" s="3"/>
    </row>
    <row r="943" spans="23:23" ht="13.2" x14ac:dyDescent="0.3">
      <c r="W943" s="3"/>
    </row>
    <row r="944" spans="23:23" ht="13.2" x14ac:dyDescent="0.3">
      <c r="W944" s="3"/>
    </row>
    <row r="945" spans="23:23" ht="13.2" x14ac:dyDescent="0.3">
      <c r="W945" s="3"/>
    </row>
    <row r="946" spans="23:23" ht="13.2" x14ac:dyDescent="0.3">
      <c r="W946" s="3"/>
    </row>
    <row r="947" spans="23:23" ht="13.2" x14ac:dyDescent="0.3">
      <c r="W947" s="3"/>
    </row>
    <row r="948" spans="23:23" ht="13.2" x14ac:dyDescent="0.3">
      <c r="W948" s="3"/>
    </row>
    <row r="949" spans="23:23" ht="13.2" x14ac:dyDescent="0.3">
      <c r="W949" s="3"/>
    </row>
    <row r="950" spans="23:23" ht="13.2" x14ac:dyDescent="0.3">
      <c r="W950" s="3"/>
    </row>
    <row r="951" spans="23:23" ht="13.2" x14ac:dyDescent="0.3">
      <c r="W951" s="3"/>
    </row>
    <row r="952" spans="23:23" ht="13.2" x14ac:dyDescent="0.3">
      <c r="W952" s="3"/>
    </row>
    <row r="953" spans="23:23" ht="13.2" x14ac:dyDescent="0.3">
      <c r="W953" s="3"/>
    </row>
    <row r="954" spans="23:23" ht="13.2" x14ac:dyDescent="0.3">
      <c r="W954" s="3"/>
    </row>
    <row r="955" spans="23:23" ht="13.2" x14ac:dyDescent="0.3">
      <c r="W955" s="3"/>
    </row>
    <row r="956" spans="23:23" ht="13.2" x14ac:dyDescent="0.3">
      <c r="W956" s="3"/>
    </row>
    <row r="957" spans="23:23" ht="13.2" x14ac:dyDescent="0.3">
      <c r="W957" s="3"/>
    </row>
    <row r="958" spans="23:23" ht="13.2" x14ac:dyDescent="0.3">
      <c r="W958" s="3"/>
    </row>
    <row r="959" spans="23:23" ht="13.2" x14ac:dyDescent="0.3">
      <c r="W959" s="3"/>
    </row>
    <row r="960" spans="23:23" ht="13.2" x14ac:dyDescent="0.3">
      <c r="W960" s="3"/>
    </row>
    <row r="961" spans="23:23" ht="13.2" x14ac:dyDescent="0.3">
      <c r="W961" s="3"/>
    </row>
    <row r="962" spans="23:23" ht="13.2" x14ac:dyDescent="0.3">
      <c r="W962" s="3"/>
    </row>
    <row r="963" spans="23:23" ht="13.2" x14ac:dyDescent="0.3">
      <c r="W963" s="3"/>
    </row>
    <row r="964" spans="23:23" ht="13.2" x14ac:dyDescent="0.3">
      <c r="W964" s="3"/>
    </row>
    <row r="965" spans="23:23" ht="13.2" x14ac:dyDescent="0.3">
      <c r="W965" s="3"/>
    </row>
    <row r="966" spans="23:23" ht="13.2" x14ac:dyDescent="0.3">
      <c r="W966" s="3"/>
    </row>
    <row r="967" spans="23:23" ht="13.2" x14ac:dyDescent="0.3">
      <c r="W967" s="3"/>
    </row>
    <row r="968" spans="23:23" ht="13.2" x14ac:dyDescent="0.3">
      <c r="W968" s="3"/>
    </row>
    <row r="969" spans="23:23" ht="13.2" x14ac:dyDescent="0.3">
      <c r="W969" s="3"/>
    </row>
    <row r="970" spans="23:23" ht="13.2" x14ac:dyDescent="0.3">
      <c r="W970" s="3"/>
    </row>
    <row r="971" spans="23:23" ht="13.2" x14ac:dyDescent="0.3">
      <c r="W971" s="3"/>
    </row>
    <row r="972" spans="23:23" ht="13.2" x14ac:dyDescent="0.3">
      <c r="W972" s="3"/>
    </row>
    <row r="973" spans="23:23" ht="13.2" x14ac:dyDescent="0.3">
      <c r="W973" s="3"/>
    </row>
    <row r="974" spans="23:23" ht="13.2" x14ac:dyDescent="0.3">
      <c r="W974" s="3"/>
    </row>
    <row r="975" spans="23:23" ht="13.2" x14ac:dyDescent="0.3">
      <c r="W975" s="3"/>
    </row>
    <row r="976" spans="23:23" ht="13.2" x14ac:dyDescent="0.3">
      <c r="W976" s="3"/>
    </row>
    <row r="977" spans="23:23" ht="13.2" x14ac:dyDescent="0.3">
      <c r="W977" s="3"/>
    </row>
    <row r="978" spans="23:23" ht="13.2" x14ac:dyDescent="0.3">
      <c r="W978" s="3"/>
    </row>
    <row r="979" spans="23:23" ht="13.2" x14ac:dyDescent="0.3">
      <c r="W979" s="3"/>
    </row>
    <row r="980" spans="23:23" ht="13.2" x14ac:dyDescent="0.3">
      <c r="W980" s="3"/>
    </row>
    <row r="981" spans="23:23" ht="13.2" x14ac:dyDescent="0.3">
      <c r="W981" s="3"/>
    </row>
    <row r="982" spans="23:23" ht="13.2" x14ac:dyDescent="0.3">
      <c r="W982" s="3"/>
    </row>
    <row r="983" spans="23:23" ht="13.2" x14ac:dyDescent="0.3">
      <c r="W983" s="3"/>
    </row>
    <row r="984" spans="23:23" ht="13.2" x14ac:dyDescent="0.3">
      <c r="W984" s="3"/>
    </row>
    <row r="985" spans="23:23" ht="13.2" x14ac:dyDescent="0.3">
      <c r="W985" s="3"/>
    </row>
    <row r="986" spans="23:23" ht="13.2" x14ac:dyDescent="0.3">
      <c r="W986" s="3"/>
    </row>
    <row r="987" spans="23:23" ht="13.2" x14ac:dyDescent="0.3">
      <c r="W987" s="3"/>
    </row>
    <row r="988" spans="23:23" ht="13.2" x14ac:dyDescent="0.3">
      <c r="W988" s="3"/>
    </row>
    <row r="989" spans="23:23" ht="13.2" x14ac:dyDescent="0.3">
      <c r="W989" s="3"/>
    </row>
    <row r="990" spans="23:23" ht="13.2" x14ac:dyDescent="0.3">
      <c r="W990" s="3"/>
    </row>
    <row r="991" spans="23:23" ht="13.2" x14ac:dyDescent="0.3">
      <c r="W991" s="3"/>
    </row>
    <row r="992" spans="23:23" ht="13.2" x14ac:dyDescent="0.3">
      <c r="W992" s="3"/>
    </row>
    <row r="993" spans="23:23" ht="13.2" x14ac:dyDescent="0.3">
      <c r="W993" s="3"/>
    </row>
    <row r="994" spans="23:23" ht="13.2" x14ac:dyDescent="0.3">
      <c r="W994" s="3"/>
    </row>
    <row r="995" spans="23:23" ht="13.2" x14ac:dyDescent="0.3">
      <c r="W995" s="3"/>
    </row>
    <row r="996" spans="23:23" ht="13.2" x14ac:dyDescent="0.3">
      <c r="W996" s="3"/>
    </row>
    <row r="997" spans="23:23" ht="13.2" x14ac:dyDescent="0.3">
      <c r="W997" s="3"/>
    </row>
    <row r="998" spans="23:23" ht="13.2" x14ac:dyDescent="0.3">
      <c r="W998" s="3"/>
    </row>
    <row r="999" spans="23:23" ht="13.2" x14ac:dyDescent="0.3">
      <c r="W999" s="3"/>
    </row>
    <row r="1000" spans="23:23" ht="13.2" x14ac:dyDescent="0.3">
      <c r="W1000" s="3"/>
    </row>
    <row r="1001" spans="23:23" ht="13.2" x14ac:dyDescent="0.3">
      <c r="W1001" s="3"/>
    </row>
    <row r="1002" spans="23:23" ht="13.2" x14ac:dyDescent="0.3">
      <c r="W1002" s="3"/>
    </row>
    <row r="1003" spans="23:23" ht="13.2" x14ac:dyDescent="0.3">
      <c r="W1003" s="3"/>
    </row>
    <row r="1004" spans="23:23" ht="13.2" x14ac:dyDescent="0.3">
      <c r="W1004" s="3"/>
    </row>
    <row r="1005" spans="23:23" ht="13.2" x14ac:dyDescent="0.3">
      <c r="W1005" s="3"/>
    </row>
    <row r="1006" spans="23:23" ht="13.2" x14ac:dyDescent="0.3">
      <c r="W1006" s="3"/>
    </row>
    <row r="1007" spans="23:23" ht="13.2" x14ac:dyDescent="0.3">
      <c r="W1007" s="3"/>
    </row>
    <row r="1008" spans="23:23" ht="13.2" x14ac:dyDescent="0.3">
      <c r="W1008" s="3"/>
    </row>
    <row r="1009" spans="23:23" ht="13.2" x14ac:dyDescent="0.3">
      <c r="W1009" s="3"/>
    </row>
    <row r="1010" spans="23:23" ht="13.2" x14ac:dyDescent="0.3">
      <c r="W1010" s="3"/>
    </row>
    <row r="1011" spans="23:23" ht="13.2" x14ac:dyDescent="0.3">
      <c r="W1011" s="3"/>
    </row>
    <row r="1012" spans="23:23" ht="13.2" x14ac:dyDescent="0.3">
      <c r="W1012" s="3"/>
    </row>
    <row r="1013" spans="23:23" ht="13.2" x14ac:dyDescent="0.3">
      <c r="W1013" s="3"/>
    </row>
    <row r="1014" spans="23:23" ht="13.2" x14ac:dyDescent="0.3">
      <c r="W1014" s="3"/>
    </row>
    <row r="1015" spans="23:23" ht="13.2" x14ac:dyDescent="0.3">
      <c r="W1015" s="3"/>
    </row>
    <row r="1016" spans="23:23" ht="13.2" x14ac:dyDescent="0.3">
      <c r="W1016" s="3"/>
    </row>
    <row r="1017" spans="23:23" ht="13.2" x14ac:dyDescent="0.3">
      <c r="W1017" s="3"/>
    </row>
    <row r="1018" spans="23:23" ht="13.2" x14ac:dyDescent="0.3">
      <c r="W1018" s="3"/>
    </row>
    <row r="1019" spans="23:23" ht="13.2" x14ac:dyDescent="0.3">
      <c r="W1019" s="3"/>
    </row>
    <row r="1020" spans="23:23" ht="13.2" x14ac:dyDescent="0.3">
      <c r="W1020" s="3"/>
    </row>
    <row r="1021" spans="23:23" ht="13.2" x14ac:dyDescent="0.3">
      <c r="W1021" s="3"/>
    </row>
    <row r="1022" spans="23:23" ht="13.2" x14ac:dyDescent="0.3">
      <c r="W1022" s="3"/>
    </row>
    <row r="1023" spans="23:23" ht="13.2" x14ac:dyDescent="0.3">
      <c r="W1023" s="3"/>
    </row>
    <row r="1024" spans="23:23" ht="13.2" x14ac:dyDescent="0.3">
      <c r="W1024" s="3"/>
    </row>
    <row r="1025" spans="23:23" ht="13.2" x14ac:dyDescent="0.3">
      <c r="W1025" s="3"/>
    </row>
    <row r="1026" spans="23:23" ht="13.2" x14ac:dyDescent="0.3">
      <c r="W1026" s="3"/>
    </row>
    <row r="1027" spans="23:23" ht="13.2" x14ac:dyDescent="0.3">
      <c r="W1027" s="3"/>
    </row>
    <row r="1028" spans="23:23" ht="13.2" x14ac:dyDescent="0.3">
      <c r="W1028" s="3"/>
    </row>
    <row r="1029" spans="23:23" ht="13.2" x14ac:dyDescent="0.3">
      <c r="W1029" s="3"/>
    </row>
    <row r="1030" spans="23:23" ht="13.2" x14ac:dyDescent="0.3">
      <c r="W1030" s="3"/>
    </row>
    <row r="1031" spans="23:23" ht="13.2" x14ac:dyDescent="0.3">
      <c r="W1031" s="3"/>
    </row>
    <row r="1032" spans="23:23" ht="13.2" x14ac:dyDescent="0.3">
      <c r="W1032" s="3"/>
    </row>
    <row r="1033" spans="23:23" ht="13.2" x14ac:dyDescent="0.3">
      <c r="W1033" s="3"/>
    </row>
    <row r="1034" spans="23:23" ht="13.2" x14ac:dyDescent="0.3">
      <c r="W1034" s="3"/>
    </row>
    <row r="1035" spans="23:23" ht="13.2" x14ac:dyDescent="0.3">
      <c r="W1035" s="3"/>
    </row>
    <row r="1036" spans="23:23" ht="13.2" x14ac:dyDescent="0.3">
      <c r="W1036" s="3"/>
    </row>
    <row r="1037" spans="23:23" ht="13.2" x14ac:dyDescent="0.3">
      <c r="W1037" s="3"/>
    </row>
    <row r="1038" spans="23:23" ht="13.2" x14ac:dyDescent="0.3">
      <c r="W1038" s="3"/>
    </row>
    <row r="1039" spans="23:23" ht="13.2" x14ac:dyDescent="0.3">
      <c r="W1039" s="3"/>
    </row>
    <row r="1040" spans="23:23" ht="13.2" x14ac:dyDescent="0.3">
      <c r="W1040" s="3"/>
    </row>
    <row r="1041" spans="23:23" ht="13.2" x14ac:dyDescent="0.3">
      <c r="W1041" s="3"/>
    </row>
    <row r="1042" spans="23:23" ht="13.2" x14ac:dyDescent="0.3">
      <c r="W1042" s="3"/>
    </row>
    <row r="1043" spans="23:23" ht="13.2" x14ac:dyDescent="0.3">
      <c r="W1043" s="3"/>
    </row>
    <row r="1044" spans="23:23" ht="13.2" x14ac:dyDescent="0.3">
      <c r="W1044" s="3"/>
    </row>
    <row r="1045" spans="23:23" ht="13.2" x14ac:dyDescent="0.3">
      <c r="W1045" s="3"/>
    </row>
    <row r="1046" spans="23:23" ht="13.2" x14ac:dyDescent="0.3">
      <c r="W1046" s="3"/>
    </row>
    <row r="1047" spans="23:23" ht="13.2" x14ac:dyDescent="0.3">
      <c r="W1047" s="3"/>
    </row>
    <row r="1048" spans="23:23" ht="13.2" x14ac:dyDescent="0.3">
      <c r="W1048" s="3"/>
    </row>
    <row r="1049" spans="23:23" ht="13.2" x14ac:dyDescent="0.3">
      <c r="W1049" s="3"/>
    </row>
    <row r="1050" spans="23:23" ht="13.2" x14ac:dyDescent="0.3">
      <c r="W1050" s="3"/>
    </row>
    <row r="1051" spans="23:23" ht="13.2" x14ac:dyDescent="0.3">
      <c r="W1051" s="3"/>
    </row>
    <row r="1052" spans="23:23" ht="13.2" x14ac:dyDescent="0.3">
      <c r="W1052" s="3"/>
    </row>
    <row r="1053" spans="23:23" ht="13.2" x14ac:dyDescent="0.3">
      <c r="W1053" s="3"/>
    </row>
    <row r="1054" spans="23:23" ht="13.2" x14ac:dyDescent="0.3">
      <c r="W1054" s="3"/>
    </row>
    <row r="1055" spans="23:23" ht="13.2" x14ac:dyDescent="0.3">
      <c r="W1055" s="3"/>
    </row>
    <row r="1056" spans="23:23" ht="13.2" x14ac:dyDescent="0.3">
      <c r="W1056" s="3"/>
    </row>
    <row r="1057" spans="23:23" ht="13.2" x14ac:dyDescent="0.3">
      <c r="W1057" s="3"/>
    </row>
    <row r="1058" spans="23:23" ht="13.2" x14ac:dyDescent="0.3">
      <c r="W1058" s="3"/>
    </row>
    <row r="1059" spans="23:23" ht="13.2" x14ac:dyDescent="0.3">
      <c r="W1059" s="3"/>
    </row>
    <row r="1060" spans="23:23" ht="13.2" x14ac:dyDescent="0.3">
      <c r="W1060" s="3"/>
    </row>
    <row r="1061" spans="23:23" ht="13.2" x14ac:dyDescent="0.3">
      <c r="W1061" s="3"/>
    </row>
    <row r="1062" spans="23:23" ht="13.2" x14ac:dyDescent="0.3">
      <c r="W1062" s="3"/>
    </row>
    <row r="1063" spans="23:23" ht="13.2" x14ac:dyDescent="0.3">
      <c r="W1063" s="3"/>
    </row>
    <row r="1064" spans="23:23" ht="13.2" x14ac:dyDescent="0.3">
      <c r="W1064" s="3"/>
    </row>
    <row r="1065" spans="23:23" ht="13.2" x14ac:dyDescent="0.3">
      <c r="W1065" s="3"/>
    </row>
    <row r="1066" spans="23:23" ht="13.2" x14ac:dyDescent="0.3">
      <c r="W1066" s="3"/>
    </row>
    <row r="1067" spans="23:23" ht="13.2" x14ac:dyDescent="0.3">
      <c r="W1067" s="3"/>
    </row>
    <row r="1068" spans="23:23" ht="13.2" x14ac:dyDescent="0.3">
      <c r="W1068" s="3"/>
    </row>
    <row r="1069" spans="23:23" ht="13.2" x14ac:dyDescent="0.3">
      <c r="W1069" s="3"/>
    </row>
    <row r="1070" spans="23:23" ht="13.2" x14ac:dyDescent="0.3">
      <c r="W1070" s="3"/>
    </row>
    <row r="1071" spans="23:23" ht="13.2" x14ac:dyDescent="0.3">
      <c r="W1071" s="3"/>
    </row>
    <row r="1072" spans="23:23" ht="13.2" x14ac:dyDescent="0.3">
      <c r="W1072" s="3"/>
    </row>
    <row r="1073" spans="23:23" ht="13.2" x14ac:dyDescent="0.3">
      <c r="W1073" s="3"/>
    </row>
    <row r="1074" spans="23:23" ht="13.2" x14ac:dyDescent="0.3">
      <c r="W1074" s="3"/>
    </row>
    <row r="1075" spans="23:23" ht="13.2" x14ac:dyDescent="0.3">
      <c r="W1075" s="3"/>
    </row>
    <row r="1076" spans="23:23" ht="13.2" x14ac:dyDescent="0.3">
      <c r="W1076" s="3"/>
    </row>
    <row r="1077" spans="23:23" ht="13.2" x14ac:dyDescent="0.3">
      <c r="W1077" s="3"/>
    </row>
    <row r="1078" spans="23:23" ht="13.2" x14ac:dyDescent="0.3">
      <c r="W1078" s="3"/>
    </row>
    <row r="1079" spans="23:23" ht="13.2" x14ac:dyDescent="0.3">
      <c r="W1079" s="3"/>
    </row>
    <row r="1080" spans="23:23" ht="13.2" x14ac:dyDescent="0.3">
      <c r="W1080" s="3"/>
    </row>
    <row r="1081" spans="23:23" ht="13.2" x14ac:dyDescent="0.3">
      <c r="W1081" s="3"/>
    </row>
    <row r="1082" spans="23:23" ht="13.2" x14ac:dyDescent="0.3">
      <c r="W1082" s="3"/>
    </row>
    <row r="1083" spans="23:23" ht="13.2" x14ac:dyDescent="0.3">
      <c r="W1083" s="3"/>
    </row>
    <row r="1084" spans="23:23" ht="13.2" x14ac:dyDescent="0.3">
      <c r="W1084" s="3"/>
    </row>
    <row r="1085" spans="23:23" ht="13.2" x14ac:dyDescent="0.3">
      <c r="W1085" s="3"/>
    </row>
    <row r="1086" spans="23:23" ht="13.2" x14ac:dyDescent="0.3">
      <c r="W1086" s="3"/>
    </row>
    <row r="1087" spans="23:23" ht="13.2" x14ac:dyDescent="0.3">
      <c r="W1087" s="3"/>
    </row>
    <row r="1088" spans="23:23" ht="13.2" x14ac:dyDescent="0.3">
      <c r="W1088" s="3"/>
    </row>
    <row r="1089" spans="23:23" ht="13.2" x14ac:dyDescent="0.3">
      <c r="W1089" s="3"/>
    </row>
    <row r="1090" spans="23:23" ht="13.2" x14ac:dyDescent="0.3">
      <c r="W1090" s="3"/>
    </row>
    <row r="1091" spans="23:23" ht="13.2" x14ac:dyDescent="0.3">
      <c r="W1091" s="3"/>
    </row>
    <row r="1092" spans="23:23" ht="13.2" x14ac:dyDescent="0.3">
      <c r="W1092" s="3"/>
    </row>
    <row r="1093" spans="23:23" ht="13.2" x14ac:dyDescent="0.3">
      <c r="W1093" s="3"/>
    </row>
    <row r="1094" spans="23:23" ht="13.2" x14ac:dyDescent="0.3">
      <c r="W1094" s="3"/>
    </row>
    <row r="1095" spans="23:23" ht="13.2" x14ac:dyDescent="0.3">
      <c r="W1095" s="3"/>
    </row>
    <row r="1096" spans="23:23" ht="13.2" x14ac:dyDescent="0.3">
      <c r="W1096" s="3"/>
    </row>
    <row r="1097" spans="23:23" ht="13.2" x14ac:dyDescent="0.3">
      <c r="W1097" s="3"/>
    </row>
    <row r="1098" spans="23:23" ht="13.2" x14ac:dyDescent="0.3">
      <c r="W1098" s="3"/>
    </row>
    <row r="1099" spans="23:23" ht="13.2" x14ac:dyDescent="0.3">
      <c r="W1099" s="3"/>
    </row>
    <row r="1100" spans="23:23" ht="13.2" x14ac:dyDescent="0.3">
      <c r="W1100" s="3"/>
    </row>
    <row r="1101" spans="23:23" ht="13.2" x14ac:dyDescent="0.3">
      <c r="W1101" s="3"/>
    </row>
    <row r="1102" spans="23:23" ht="13.2" x14ac:dyDescent="0.3">
      <c r="W1102" s="3"/>
    </row>
    <row r="1103" spans="23:23" ht="13.2" x14ac:dyDescent="0.3">
      <c r="W1103" s="3"/>
    </row>
    <row r="1104" spans="23:23" ht="13.2" x14ac:dyDescent="0.3">
      <c r="W1104" s="3"/>
    </row>
    <row r="1105" spans="23:23" ht="13.2" x14ac:dyDescent="0.3">
      <c r="W1105" s="3"/>
    </row>
    <row r="1106" spans="23:23" ht="13.2" x14ac:dyDescent="0.3">
      <c r="W1106" s="3"/>
    </row>
    <row r="1107" spans="23:23" ht="13.2" x14ac:dyDescent="0.3">
      <c r="W1107" s="3"/>
    </row>
    <row r="1108" spans="23:23" ht="13.2" x14ac:dyDescent="0.3">
      <c r="W1108" s="3"/>
    </row>
    <row r="1109" spans="23:23" ht="13.2" x14ac:dyDescent="0.3">
      <c r="W1109" s="3"/>
    </row>
    <row r="1110" spans="23:23" ht="13.2" x14ac:dyDescent="0.3">
      <c r="W1110" s="3"/>
    </row>
    <row r="1111" spans="23:23" ht="13.2" x14ac:dyDescent="0.3">
      <c r="W1111" s="3"/>
    </row>
    <row r="1112" spans="23:23" ht="13.2" x14ac:dyDescent="0.3">
      <c r="W1112" s="3"/>
    </row>
    <row r="1113" spans="23:23" ht="13.2" x14ac:dyDescent="0.3">
      <c r="W1113" s="3"/>
    </row>
    <row r="1114" spans="23:23" ht="13.2" x14ac:dyDescent="0.3">
      <c r="W1114" s="3"/>
    </row>
    <row r="1115" spans="23:23" ht="13.2" x14ac:dyDescent="0.3">
      <c r="W1115" s="3"/>
    </row>
    <row r="1116" spans="23:23" ht="13.2" x14ac:dyDescent="0.3">
      <c r="W1116" s="3"/>
    </row>
    <row r="1117" spans="23:23" ht="13.2" x14ac:dyDescent="0.3">
      <c r="W1117" s="3"/>
    </row>
    <row r="1118" spans="23:23" ht="13.2" x14ac:dyDescent="0.3">
      <c r="W1118" s="3"/>
    </row>
    <row r="1119" spans="23:23" ht="13.2" x14ac:dyDescent="0.3">
      <c r="W1119" s="3"/>
    </row>
    <row r="1120" spans="23:23" ht="13.2" x14ac:dyDescent="0.3">
      <c r="W1120" s="3"/>
    </row>
    <row r="1121" spans="23:23" ht="13.2" x14ac:dyDescent="0.3">
      <c r="W1121" s="3"/>
    </row>
    <row r="1122" spans="23:23" ht="13.2" x14ac:dyDescent="0.3">
      <c r="W1122" s="3"/>
    </row>
    <row r="1123" spans="23:23" ht="13.2" x14ac:dyDescent="0.3">
      <c r="W1123" s="3"/>
    </row>
    <row r="1124" spans="23:23" ht="13.2" x14ac:dyDescent="0.3">
      <c r="W1124" s="3"/>
    </row>
    <row r="1125" spans="23:23" ht="13.2" x14ac:dyDescent="0.3">
      <c r="W1125" s="3"/>
    </row>
    <row r="1126" spans="23:23" ht="13.2" x14ac:dyDescent="0.3">
      <c r="W1126" s="3"/>
    </row>
    <row r="1127" spans="23:23" ht="13.2" x14ac:dyDescent="0.3">
      <c r="W1127" s="3"/>
    </row>
    <row r="1128" spans="23:23" ht="13.2" x14ac:dyDescent="0.3">
      <c r="W1128" s="3"/>
    </row>
    <row r="1129" spans="23:23" ht="13.2" x14ac:dyDescent="0.3">
      <c r="W1129" s="3"/>
    </row>
    <row r="1130" spans="23:23" ht="13.2" x14ac:dyDescent="0.3">
      <c r="W1130" s="3"/>
    </row>
    <row r="1131" spans="23:23" ht="13.2" x14ac:dyDescent="0.3">
      <c r="W1131" s="3"/>
    </row>
    <row r="1132" spans="23:23" ht="13.2" x14ac:dyDescent="0.3">
      <c r="W1132" s="3"/>
    </row>
    <row r="1133" spans="23:23" ht="13.2" x14ac:dyDescent="0.3">
      <c r="W1133" s="3"/>
    </row>
    <row r="1134" spans="23:23" ht="13.2" x14ac:dyDescent="0.3">
      <c r="W1134" s="3"/>
    </row>
    <row r="1135" spans="23:23" ht="13.2" x14ac:dyDescent="0.3">
      <c r="W1135" s="3"/>
    </row>
    <row r="1136" spans="23:23" ht="13.2" x14ac:dyDescent="0.3">
      <c r="W1136" s="3"/>
    </row>
    <row r="1137" spans="23:23" ht="13.2" x14ac:dyDescent="0.3">
      <c r="W1137" s="3"/>
    </row>
    <row r="1138" spans="23:23" ht="13.2" x14ac:dyDescent="0.3">
      <c r="W1138" s="3"/>
    </row>
    <row r="1139" spans="23:23" ht="13.2" x14ac:dyDescent="0.3">
      <c r="W1139" s="3"/>
    </row>
    <row r="1140" spans="23:23" ht="13.2" x14ac:dyDescent="0.3">
      <c r="W1140" s="3"/>
    </row>
    <row r="1141" spans="23:23" ht="13.2" x14ac:dyDescent="0.3">
      <c r="W1141" s="3"/>
    </row>
    <row r="1142" spans="23:23" ht="13.2" x14ac:dyDescent="0.3">
      <c r="W1142" s="3"/>
    </row>
  </sheetData>
  <mergeCells count="2">
    <mergeCell ref="E3:G6"/>
    <mergeCell ref="J9:O9"/>
  </mergeCells>
  <phoneticPr fontId="23" type="noConversion"/>
  <conditionalFormatting sqref="R219">
    <cfRule type="containsText" dxfId="51" priority="48" operator="containsText" text="OK">
      <formula>NOT(ISERROR(SEARCH("OK",R219)))</formula>
    </cfRule>
    <cfRule type="containsText" dxfId="50" priority="47" operator="containsText" text="MAL">
      <formula>NOT(ISERROR(SEARCH("MAL",R219)))</formula>
    </cfRule>
  </conditionalFormatting>
  <conditionalFormatting sqref="R2:V10">
    <cfRule type="containsText" dxfId="49" priority="918" operator="containsText" text="OK">
      <formula>NOT(ISERROR(SEARCH("OK",R2)))</formula>
    </cfRule>
    <cfRule type="containsText" dxfId="48" priority="917" operator="containsText" text="MAL">
      <formula>NOT(ISERROR(SEARCH("MAL",R2)))</formula>
    </cfRule>
  </conditionalFormatting>
  <conditionalFormatting sqref="R13:V23 R25:V35 R37:V47 R49:V59 R61:V71 R73:V83 R85:V95 R97:V107 R109:V119 R121:V131 R133:V143 R145:V155 R157:V167">
    <cfRule type="containsText" dxfId="47" priority="21" operator="containsText" text="MAL">
      <formula>NOT(ISERROR(SEARCH("MAL",R13)))</formula>
    </cfRule>
    <cfRule type="containsText" dxfId="46" priority="22" operator="containsText" text="OK">
      <formula>NOT(ISERROR(SEARCH("OK",R13)))</formula>
    </cfRule>
  </conditionalFormatting>
  <conditionalFormatting sqref="R169:V179">
    <cfRule type="containsText" dxfId="45" priority="25" operator="containsText" text="MAL">
      <formula>NOT(ISERROR(SEARCH("MAL",R169)))</formula>
    </cfRule>
    <cfRule type="containsText" dxfId="44" priority="26" operator="containsText" text="OK">
      <formula>NOT(ISERROR(SEARCH("OK",R169)))</formula>
    </cfRule>
  </conditionalFormatting>
  <conditionalFormatting sqref="R181:V191">
    <cfRule type="containsText" dxfId="43" priority="29" operator="containsText" text="MAL">
      <formula>NOT(ISERROR(SEARCH("MAL",R181)))</formula>
    </cfRule>
    <cfRule type="containsText" dxfId="42" priority="30" operator="containsText" text="OK">
      <formula>NOT(ISERROR(SEARCH("OK",R181)))</formula>
    </cfRule>
  </conditionalFormatting>
  <conditionalFormatting sqref="R194:V205">
    <cfRule type="containsText" dxfId="41" priority="33" operator="containsText" text="MAL">
      <formula>NOT(ISERROR(SEARCH("MAL",R194)))</formula>
    </cfRule>
    <cfRule type="containsText" dxfId="40" priority="34" operator="containsText" text="OK">
      <formula>NOT(ISERROR(SEARCH("OK",R194)))</formula>
    </cfRule>
  </conditionalFormatting>
  <conditionalFormatting sqref="R207:V218">
    <cfRule type="containsText" dxfId="39" priority="44" operator="containsText" text="OK">
      <formula>NOT(ISERROR(SEARCH("OK",R207)))</formula>
    </cfRule>
    <cfRule type="containsText" dxfId="38" priority="43" operator="containsText" text="MAL">
      <formula>NOT(ISERROR(SEARCH("MAL",R207)))</formula>
    </cfRule>
  </conditionalFormatting>
  <conditionalFormatting sqref="R220:V230 R232:V242">
    <cfRule type="containsText" dxfId="37" priority="1007" operator="containsText" text="MAL">
      <formula>NOT(ISERROR(SEARCH("MAL",R220)))</formula>
    </cfRule>
    <cfRule type="containsText" dxfId="36" priority="1008" operator="containsText" text="OK">
      <formula>NOT(ISERROR(SEARCH("OK",R220)))</formula>
    </cfRule>
  </conditionalFormatting>
  <conditionalFormatting sqref="R220:V255">
    <cfRule type="containsText" dxfId="35" priority="41" operator="containsText" text="MAL">
      <formula>NOT(ISERROR(SEARCH("MAL",R220)))</formula>
    </cfRule>
    <cfRule type="containsText" dxfId="34" priority="42" operator="containsText" text="OK">
      <formula>NOT(ISERROR(SEARCH("OK",R220)))</formula>
    </cfRule>
  </conditionalFormatting>
  <conditionalFormatting sqref="S13:V23 S25:V35 S37:V47 S49:V59 S61:V71 S73:V83 S85:V95 S97:V107 S109:V119 S121:V131 S133:V143 S145:V155 S157:V167">
    <cfRule type="containsText" dxfId="33" priority="19" operator="containsText" text="MAL">
      <formula>NOT(ISERROR(SEARCH("MAL",S13)))</formula>
    </cfRule>
    <cfRule type="containsText" dxfId="32" priority="20" operator="containsText" text="OK">
      <formula>NOT(ISERROR(SEARCH("OK",S13)))</formula>
    </cfRule>
  </conditionalFormatting>
  <conditionalFormatting sqref="S169:V179">
    <cfRule type="containsText" dxfId="31" priority="24" operator="containsText" text="OK">
      <formula>NOT(ISERROR(SEARCH("OK",S169)))</formula>
    </cfRule>
    <cfRule type="containsText" dxfId="30" priority="23" operator="containsText" text="MAL">
      <formula>NOT(ISERROR(SEARCH("MAL",S169)))</formula>
    </cfRule>
  </conditionalFormatting>
  <conditionalFormatting sqref="S181:V191">
    <cfRule type="containsText" dxfId="29" priority="28" operator="containsText" text="OK">
      <formula>NOT(ISERROR(SEARCH("OK",S181)))</formula>
    </cfRule>
    <cfRule type="containsText" dxfId="28" priority="27" operator="containsText" text="MAL">
      <formula>NOT(ISERROR(SEARCH("MAL",S181)))</formula>
    </cfRule>
  </conditionalFormatting>
  <conditionalFormatting sqref="S194:V204">
    <cfRule type="containsText" dxfId="27" priority="32" operator="containsText" text="OK">
      <formula>NOT(ISERROR(SEARCH("OK",S194)))</formula>
    </cfRule>
    <cfRule type="containsText" dxfId="26" priority="31" operator="containsText" text="MAL">
      <formula>NOT(ISERROR(SEARCH("MAL",S194)))</formula>
    </cfRule>
  </conditionalFormatting>
  <conditionalFormatting sqref="S207:V217">
    <cfRule type="containsText" dxfId="25" priority="36" operator="containsText" text="OK">
      <formula>NOT(ISERROR(SEARCH("OK",S207)))</formula>
    </cfRule>
    <cfRule type="containsText" dxfId="24" priority="35" operator="containsText" text="MAL">
      <formula>NOT(ISERROR(SEARCH("MAL",S207)))</formula>
    </cfRule>
  </conditionalFormatting>
  <conditionalFormatting sqref="S220:V230">
    <cfRule type="containsText" dxfId="23" priority="37" operator="containsText" text="MAL">
      <formula>NOT(ISERROR(SEARCH("MAL",S220)))</formula>
    </cfRule>
    <cfRule type="containsText" dxfId="22" priority="38" operator="containsText" text="OK">
      <formula>NOT(ISERROR(SEARCH("OK",S220)))</formula>
    </cfRule>
  </conditionalFormatting>
  <conditionalFormatting sqref="S232:V242">
    <cfRule type="containsText" dxfId="21" priority="39" operator="containsText" text="MAL">
      <formula>NOT(ISERROR(SEARCH("MAL",S232)))</formula>
    </cfRule>
    <cfRule type="containsText" dxfId="20" priority="40" operator="containsText" text="OK">
      <formula>NOT(ISERROR(SEARCH("OK",S232)))</formula>
    </cfRule>
  </conditionalFormatting>
  <conditionalFormatting sqref="S244:V254 R255:V255 R257:V1048576">
    <cfRule type="containsText" dxfId="19" priority="191" operator="containsText" text="MAL">
      <formula>NOT(ISERROR(SEARCH("MAL",R244)))</formula>
    </cfRule>
    <cfRule type="containsText" dxfId="18" priority="192" operator="containsText" text="OK">
      <formula>NOT(ISERROR(SEARCH("OK",R244)))</formula>
    </cfRule>
  </conditionalFormatting>
  <conditionalFormatting sqref="T233">
    <cfRule type="containsText" dxfId="17" priority="17" operator="containsText" text="MAL">
      <formula>NOT(ISERROR(SEARCH("MAL",T233)))</formula>
    </cfRule>
    <cfRule type="containsText" dxfId="16" priority="18" operator="containsText" text="OK">
      <formula>NOT(ISERROR(SEARCH("OK",T233)))</formula>
    </cfRule>
  </conditionalFormatting>
  <conditionalFormatting sqref="S233">
    <cfRule type="containsText" dxfId="15" priority="15" operator="containsText" text="MAL">
      <formula>NOT(ISERROR(SEARCH("MAL",S233)))</formula>
    </cfRule>
    <cfRule type="containsText" dxfId="14" priority="16" operator="containsText" text="OK">
      <formula>NOT(ISERROR(SEARCH("OK",S233)))</formula>
    </cfRule>
  </conditionalFormatting>
  <conditionalFormatting sqref="S245:T247">
    <cfRule type="containsText" dxfId="13" priority="13" operator="containsText" text="MAL">
      <formula>NOT(ISERROR(SEARCH("MAL",S245)))</formula>
    </cfRule>
    <cfRule type="containsText" dxfId="12" priority="14" operator="containsText" text="OK">
      <formula>NOT(ISERROR(SEARCH("OK",S245)))</formula>
    </cfRule>
  </conditionalFormatting>
  <conditionalFormatting sqref="S245:T247">
    <cfRule type="containsText" dxfId="11" priority="11" operator="containsText" text="MAL">
      <formula>NOT(ISERROR(SEARCH("MAL",S245)))</formula>
    </cfRule>
    <cfRule type="containsText" dxfId="10" priority="12" operator="containsText" text="OK">
      <formula>NOT(ISERROR(SEARCH("OK",S245)))</formula>
    </cfRule>
  </conditionalFormatting>
  <conditionalFormatting sqref="T245:T247">
    <cfRule type="containsText" dxfId="9" priority="9" operator="containsText" text="MAL">
      <formula>NOT(ISERROR(SEARCH("MAL",T245)))</formula>
    </cfRule>
    <cfRule type="containsText" dxfId="8" priority="10" operator="containsText" text="OK">
      <formula>NOT(ISERROR(SEARCH("OK",T245)))</formula>
    </cfRule>
  </conditionalFormatting>
  <conditionalFormatting sqref="S245:S247">
    <cfRule type="containsText" dxfId="7" priority="7" operator="containsText" text="MAL">
      <formula>NOT(ISERROR(SEARCH("MAL",S245)))</formula>
    </cfRule>
    <cfRule type="containsText" dxfId="6" priority="8" operator="containsText" text="OK">
      <formula>NOT(ISERROR(SEARCH("OK",S245)))</formula>
    </cfRule>
  </conditionalFormatting>
  <conditionalFormatting sqref="U233">
    <cfRule type="containsText" dxfId="5" priority="5" operator="containsText" text="MAL">
      <formula>NOT(ISERROR(SEARCH("MAL",U233)))</formula>
    </cfRule>
    <cfRule type="containsText" dxfId="4" priority="6" operator="containsText" text="OK">
      <formula>NOT(ISERROR(SEARCH("OK",U233)))</formula>
    </cfRule>
  </conditionalFormatting>
  <conditionalFormatting sqref="U245:U247">
    <cfRule type="containsText" dxfId="3" priority="3" operator="containsText" text="MAL">
      <formula>NOT(ISERROR(SEARCH("MAL",U245)))</formula>
    </cfRule>
    <cfRule type="containsText" dxfId="2" priority="4" operator="containsText" text="OK">
      <formula>NOT(ISERROR(SEARCH("OK",U245)))</formula>
    </cfRule>
  </conditionalFormatting>
  <conditionalFormatting sqref="U245:U247">
    <cfRule type="containsText" dxfId="1" priority="1" operator="containsText" text="MAL">
      <formula>NOT(ISERROR(SEARCH("MAL",U245)))</formula>
    </cfRule>
    <cfRule type="containsText" dxfId="0" priority="2" operator="containsText" text="OK">
      <formula>NOT(ISERROR(SEARCH("OK",U245)))</formula>
    </cfRule>
  </conditionalFormatting>
  <dataValidations count="2">
    <dataValidation type="list" allowBlank="1" showInputMessage="1" showErrorMessage="1" sqref="H61 H49 H25 H37 H194 H85 H97 H232 H244 H207" xr:uid="{00000000-0002-0000-0000-000006000000}"/>
    <dataValidation type="list" allowBlank="1" showInputMessage="1" showErrorMessage="1" sqref="D195:E204 D27:D35 E38:E47 D50:E59 D62:E71 D74:E83 D86:E95 D98:E107 D110:E119 D122:E131 D134:E143 D146:E155 D158:E167 D170:E179 E26:E35 D221:D230 D182:E191 D234:D242 D208:E217 D14:E23" xr:uid="{9D0442D8-7BDB-4966-B63E-399F93DB8E2E}">
      <formula1>INDIRECT(C14)</formula1>
    </dataValidation>
  </dataValidations>
  <printOptions horizontalCentered="1"/>
  <pageMargins left="0.19685039370078741" right="0.19685039370078741" top="0.98425196850393704" bottom="0.19685039370078741" header="0.19685039370078741" footer="0.19685039370078741"/>
  <pageSetup paperSize="9" scale="50" fitToHeight="0" orientation="landscape" r:id="rId1"/>
  <headerFooter>
    <oddHeader>&amp;L&amp;"Century Gothic,Negrita"&amp;36&amp;G &amp;A&amp;R&amp;G</oddHeader>
    <oddFooter>&amp;C&amp;"Century Gothic,Normal"&amp;9&amp;F&amp;R&amp;"Century Gothic,Normal"&amp;9Page &amp;P of &amp;N</oddFooter>
  </headerFooter>
  <rowBreaks count="3" manualBreakCount="3">
    <brk id="84" max="16" man="1"/>
    <brk id="192" max="19" man="1"/>
    <brk id="218" max="19" man="1"/>
  </rowBreaks>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6210" operator="containsText" id="{3C949915-3FE3-47A3-946D-58CC2BA442F5}">
            <xm:f>NOT(ISERROR(SEARCH(Legend!$B$10,H14)))</xm:f>
            <xm:f>Legend!$B$10</xm:f>
            <x14:dxf>
              <font>
                <color auto="1"/>
              </font>
              <fill>
                <patternFill>
                  <bgColor rgb="FFFFA3A3"/>
                </patternFill>
              </fill>
            </x14:dxf>
          </x14:cfRule>
          <x14:cfRule type="containsText" priority="6206" operator="containsText" id="{36FB95FA-CC30-4480-A781-1CC56DBF5E45}">
            <xm:f>NOT(ISERROR(SEARCH(Legend!$B$14,H14)))</xm:f>
            <xm:f>Legend!$B$14</xm:f>
            <x14:dxf>
              <fill>
                <patternFill>
                  <bgColor theme="0"/>
                </patternFill>
              </fill>
            </x14:dxf>
          </x14:cfRule>
          <x14:cfRule type="containsText" priority="6207" operator="containsText" id="{D97FE894-A460-44BE-9104-342318C1AFC5}">
            <xm:f>NOT(ISERROR(SEARCH(Legend!$B$13,H14)))</xm:f>
            <xm:f>Legend!$B$13</xm:f>
            <x14:dxf>
              <font>
                <color auto="1"/>
              </font>
              <fill>
                <patternFill>
                  <bgColor theme="9" tint="0.59996337778862885"/>
                </patternFill>
              </fill>
            </x14:dxf>
          </x14:cfRule>
          <x14:cfRule type="containsText" priority="6208" operator="containsText" id="{631249F8-3AF4-4961-BFAA-EC7FBB297B14}">
            <xm:f>NOT(ISERROR(SEARCH(Legend!$B$12,H14)))</xm:f>
            <xm:f>Legend!$B$12</xm:f>
            <x14:dxf>
              <fill>
                <patternFill>
                  <bgColor rgb="FFFFE79B"/>
                </patternFill>
              </fill>
            </x14:dxf>
          </x14:cfRule>
          <x14:cfRule type="containsText" priority="6209" operator="containsText" id="{8CBC56D9-70FA-4C67-9D34-B0873C7F6F9E}">
            <xm:f>NOT(ISERROR(SEARCH(Legend!$B$11,H14)))</xm:f>
            <xm:f>Legend!$B$11</xm:f>
            <x14:dxf>
              <fill>
                <patternFill>
                  <bgColor theme="5" tint="0.39994506668294322"/>
                </patternFill>
              </fill>
            </x14:dxf>
          </x14:cfRule>
          <xm:sqref>H14:H23 H26:H35 H38:H47 H50:H59 H62:H71 H74:H83 H86:H95 H98:H107 H110:H119 H122:H131 H134:H143 H146:H155 H158:H167 H170:H179 H182:H191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F3C83B3E-7124-443B-BA33-4F63652C926B}">
          <x14:formula1>
            <xm:f>'00 Category Data'!$C$3:$J$3</xm:f>
          </x14:formula1>
          <xm:sqref>C74:C83 C208:C217 C62:C71 C245:C254 C233:C242 C182:C191 C221:C230 C158:C167 C146:C155 C134:C143 C122:C131 C110:C119 C98:C107 C86:C95 C14:C23 C50:C59 C38:C47 C26:C35 C170:C179 C195:C204</xm:sqref>
        </x14:dataValidation>
        <x14:dataValidation type="list" allowBlank="1" showInputMessage="1" showErrorMessage="1" xr:uid="{00000000-0002-0000-0000-000004000000}">
          <x14:formula1>
            <xm:f>Legend!$B$10:$B$14</xm:f>
          </x14:formula1>
          <xm:sqref>H133:H143 H169:H179 H181:H191 H109:H119 H145:H155 H26:H35 H98:H107 H86:H95 H74:H83 H62:H71 H50:H59 H38:H47 H157:H167 H121:H131 H14:H23</xm:sqref>
        </x14:dataValidation>
        <x14:dataValidation type="list" allowBlank="1" showInputMessage="1" showErrorMessage="1" xr:uid="{0F3CE19F-9336-46C1-81FF-A4EFF1EB4089}">
          <x14:formula1>
            <xm:f>'00 Asset Data'!$Q$4:$Q$7</xm:f>
          </x14:formula1>
          <xm:sqref>Q86:Q95 Q98:Q107 Q182:Q191 Q38:Q47 Q50:Q59 Q62:Q71 Q158:Q167 Q134:Q143 Q122:Q131 Q146:Q155 Q14:Q23 Q26:Q35 Q74:Q83 Q110:Q119 Q170:Q179</xm:sqref>
        </x14:dataValidation>
        <x14:dataValidation type="list" allowBlank="1" showInputMessage="1" showErrorMessage="1" xr:uid="{B7E1E4E1-EE9A-4908-A8C9-738C162A20F4}">
          <x14:formula1>
            <xm:f>'00 Asset Data'!$B$10:$B$14</xm:f>
          </x14:formula1>
          <xm:sqref>K2:K6</xm:sqref>
        </x14:dataValidation>
        <x14:dataValidation type="list" allowBlank="1" showInputMessage="1" showErrorMessage="1" xr:uid="{DD9FE506-AB2D-48E0-B2DF-988EECC83E09}">
          <x14:formula1>
            <xm:f>'00 Asset Data'!$E$5:$E$21</xm:f>
          </x14:formula1>
          <xm:sqref>F170:F179 F158:F167 F182:F191 F86:F95 F74:F83 F62:F71 F50:F59 F38:F47 F26:F35 F14:F23 F98:F107 F110:F119 F122:F131 F134:F143 F146:F155</xm:sqref>
        </x14:dataValidation>
        <x14:dataValidation type="list" allowBlank="1" showInputMessage="1" showErrorMessage="1" xr:uid="{74D3E9B1-0EC9-46F1-837B-4003D2EE8C42}">
          <x14:formula1>
            <xm:f>'00 Asset Data'!$P$4:$P$14</xm:f>
          </x14:formula1>
          <xm:sqref>P14:P23 P122:P131 P110:P119 P26:P35 P38:P47 P170:P179 P62:P71 P50:P59 P86:P95 P98:P107 P146:P155 P158:P167 P134:P143 P182:P191 P74:P83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5330D-7A08-4EF7-98F6-911A3FB31120}">
  <sheetPr>
    <tabColor rgb="FF92D050"/>
  </sheetPr>
  <dimension ref="A1:G63"/>
  <sheetViews>
    <sheetView showGridLines="0" zoomScale="70" zoomScaleNormal="70" zoomScaleSheetLayoutView="70" workbookViewId="0">
      <selection activeCell="E24" sqref="E24"/>
    </sheetView>
  </sheetViews>
  <sheetFormatPr baseColWidth="10" defaultColWidth="10.88671875" defaultRowHeight="14.4" x14ac:dyDescent="0.3"/>
  <cols>
    <col min="1" max="1" width="64" style="151" customWidth="1"/>
    <col min="2" max="4" width="17.109375" style="151" customWidth="1"/>
    <col min="5" max="5" width="19.44140625" style="151" customWidth="1"/>
    <col min="6" max="7" width="17.109375" style="151" customWidth="1"/>
    <col min="8" max="8" width="1.88671875" style="151" customWidth="1"/>
    <col min="9" max="16384" width="10.88671875" style="151"/>
  </cols>
  <sheetData>
    <row r="1" spans="1:7" s="203" customFormat="1" ht="58.35" customHeight="1" thickBot="1" x14ac:dyDescent="0.35">
      <c r="A1" s="237" t="s">
        <v>252</v>
      </c>
    </row>
    <row r="2" spans="1:7" ht="30.6" thickBot="1" x14ac:dyDescent="0.35">
      <c r="A2" s="314" t="s">
        <v>253</v>
      </c>
      <c r="B2" s="316" t="s">
        <v>254</v>
      </c>
      <c r="C2" s="287" t="s">
        <v>255</v>
      </c>
      <c r="D2" s="256" t="s">
        <v>256</v>
      </c>
      <c r="E2" s="288" t="s">
        <v>257</v>
      </c>
      <c r="F2" s="289" t="s">
        <v>258</v>
      </c>
      <c r="G2" s="290" t="s">
        <v>259</v>
      </c>
    </row>
    <row r="3" spans="1:7" ht="18" thickBot="1" x14ac:dyDescent="0.35">
      <c r="A3" s="295" t="s">
        <v>20</v>
      </c>
      <c r="B3" s="292"/>
      <c r="C3" s="293"/>
      <c r="D3" s="293"/>
      <c r="E3" s="293"/>
      <c r="F3" s="293"/>
      <c r="G3" s="294">
        <v>0</v>
      </c>
    </row>
    <row r="4" spans="1:7" ht="15" x14ac:dyDescent="0.3">
      <c r="A4" s="255" t="s">
        <v>37</v>
      </c>
      <c r="B4" s="286"/>
      <c r="C4" s="313"/>
      <c r="D4" s="317"/>
      <c r="E4" s="318"/>
      <c r="F4" s="319"/>
      <c r="G4" s="291">
        <v>0</v>
      </c>
    </row>
    <row r="5" spans="1:7" ht="15" x14ac:dyDescent="0.3">
      <c r="A5" s="255" t="s">
        <v>40</v>
      </c>
      <c r="B5" s="286"/>
      <c r="C5" s="315"/>
      <c r="D5" s="317"/>
      <c r="E5" s="318"/>
      <c r="F5" s="319"/>
      <c r="G5" s="291">
        <v>0</v>
      </c>
    </row>
    <row r="6" spans="1:7" ht="15" x14ac:dyDescent="0.3">
      <c r="A6" s="255" t="s">
        <v>43</v>
      </c>
      <c r="B6" s="286"/>
      <c r="C6" s="315"/>
      <c r="D6" s="317"/>
      <c r="E6" s="318"/>
      <c r="F6" s="319"/>
      <c r="G6" s="291">
        <v>0</v>
      </c>
    </row>
    <row r="7" spans="1:7" ht="15" x14ac:dyDescent="0.3">
      <c r="A7" s="255" t="s">
        <v>45</v>
      </c>
      <c r="B7" s="286"/>
      <c r="C7" s="315"/>
      <c r="D7" s="317"/>
      <c r="E7" s="318"/>
      <c r="F7" s="319"/>
      <c r="G7" s="291">
        <v>0</v>
      </c>
    </row>
    <row r="8" spans="1:7" ht="15" x14ac:dyDescent="0.3">
      <c r="A8" s="255" t="s">
        <v>46</v>
      </c>
      <c r="B8" s="286"/>
      <c r="C8" s="315"/>
      <c r="D8" s="317"/>
      <c r="E8" s="318"/>
      <c r="F8" s="319"/>
      <c r="G8" s="291">
        <v>0</v>
      </c>
    </row>
    <row r="9" spans="1:7" ht="15" x14ac:dyDescent="0.3">
      <c r="A9" s="255" t="s">
        <v>47</v>
      </c>
      <c r="B9" s="286"/>
      <c r="C9" s="315"/>
      <c r="D9" s="317"/>
      <c r="E9" s="318"/>
      <c r="F9" s="319"/>
      <c r="G9" s="291">
        <v>0</v>
      </c>
    </row>
    <row r="10" spans="1:7" ht="15" x14ac:dyDescent="0.3">
      <c r="A10" s="255" t="s">
        <v>48</v>
      </c>
      <c r="B10" s="286"/>
      <c r="C10" s="315"/>
      <c r="D10" s="317"/>
      <c r="E10" s="318"/>
      <c r="F10" s="319"/>
      <c r="G10" s="291">
        <v>0</v>
      </c>
    </row>
    <row r="11" spans="1:7" ht="15" x14ac:dyDescent="0.3">
      <c r="A11" s="255" t="s">
        <v>23</v>
      </c>
      <c r="B11" s="286"/>
      <c r="C11" s="315"/>
      <c r="D11" s="317"/>
      <c r="E11" s="318"/>
      <c r="F11" s="319"/>
      <c r="G11" s="291">
        <v>0</v>
      </c>
    </row>
    <row r="12" spans="1:7" ht="15" x14ac:dyDescent="0.3">
      <c r="A12" s="255" t="s">
        <v>49</v>
      </c>
      <c r="B12" s="286"/>
      <c r="C12" s="315"/>
      <c r="D12" s="317"/>
      <c r="E12" s="318"/>
      <c r="F12" s="319"/>
      <c r="G12" s="291">
        <v>0</v>
      </c>
    </row>
    <row r="13" spans="1:7" ht="15" x14ac:dyDescent="0.3">
      <c r="A13" s="255" t="s">
        <v>50</v>
      </c>
      <c r="B13" s="286"/>
      <c r="C13" s="315"/>
      <c r="D13" s="317"/>
      <c r="E13" s="318"/>
      <c r="F13" s="319"/>
      <c r="G13" s="291">
        <v>0</v>
      </c>
    </row>
    <row r="14" spans="1:7" ht="15" x14ac:dyDescent="0.3">
      <c r="A14" s="255" t="s">
        <v>51</v>
      </c>
      <c r="B14" s="286"/>
      <c r="C14" s="315"/>
      <c r="D14" s="317"/>
      <c r="E14" s="318"/>
      <c r="F14" s="319"/>
      <c r="G14" s="291">
        <v>0</v>
      </c>
    </row>
    <row r="15" spans="1:7" ht="15" x14ac:dyDescent="0.3">
      <c r="A15" s="255" t="s">
        <v>52</v>
      </c>
      <c r="B15" s="286"/>
      <c r="C15" s="315"/>
      <c r="D15" s="317"/>
      <c r="E15" s="318"/>
      <c r="F15" s="319"/>
      <c r="G15" s="291">
        <v>0</v>
      </c>
    </row>
    <row r="16" spans="1:7" ht="15" x14ac:dyDescent="0.3">
      <c r="A16" s="255" t="s">
        <v>53</v>
      </c>
      <c r="B16" s="286"/>
      <c r="C16" s="315"/>
      <c r="D16" s="317"/>
      <c r="E16" s="318"/>
      <c r="F16" s="319"/>
      <c r="G16" s="291">
        <v>0</v>
      </c>
    </row>
    <row r="17" spans="1:7" ht="15" x14ac:dyDescent="0.3">
      <c r="A17" s="255" t="s">
        <v>54</v>
      </c>
      <c r="B17" s="286"/>
      <c r="C17" s="315"/>
      <c r="D17" s="317"/>
      <c r="E17" s="318"/>
      <c r="F17" s="319"/>
      <c r="G17" s="291">
        <v>0</v>
      </c>
    </row>
    <row r="18" spans="1:7" ht="15.6" thickBot="1" x14ac:dyDescent="0.35">
      <c r="A18" s="255" t="s">
        <v>137</v>
      </c>
      <c r="B18" s="286"/>
      <c r="C18" s="315"/>
      <c r="D18" s="317"/>
      <c r="E18" s="318"/>
      <c r="F18" s="319"/>
      <c r="G18" s="291">
        <v>0</v>
      </c>
    </row>
    <row r="19" spans="1:7" ht="18" thickBot="1" x14ac:dyDescent="0.35">
      <c r="A19" s="295" t="s">
        <v>35</v>
      </c>
      <c r="B19" s="292"/>
      <c r="C19" s="293"/>
      <c r="D19" s="293"/>
      <c r="E19" s="293"/>
      <c r="F19" s="293"/>
      <c r="G19" s="294">
        <v>0</v>
      </c>
    </row>
    <row r="20" spans="1:7" ht="15.6" thickBot="1" x14ac:dyDescent="0.35">
      <c r="A20" s="255" t="s">
        <v>28</v>
      </c>
      <c r="B20" s="286"/>
      <c r="C20" s="315"/>
      <c r="D20" s="317"/>
      <c r="E20" s="318"/>
      <c r="F20" s="319"/>
      <c r="G20" s="291">
        <v>0</v>
      </c>
    </row>
    <row r="21" spans="1:7" ht="18" thickBot="1" x14ac:dyDescent="0.35">
      <c r="A21" s="295" t="s">
        <v>34</v>
      </c>
      <c r="B21" s="292"/>
      <c r="C21" s="293"/>
      <c r="D21" s="293"/>
      <c r="E21" s="293"/>
      <c r="F21" s="293"/>
      <c r="G21" s="294">
        <v>0</v>
      </c>
    </row>
    <row r="22" spans="1:7" ht="15.6" thickBot="1" x14ac:dyDescent="0.35">
      <c r="A22" s="255" t="s">
        <v>34</v>
      </c>
      <c r="B22" s="286"/>
      <c r="C22" s="315"/>
      <c r="D22" s="317"/>
      <c r="E22" s="318"/>
      <c r="F22" s="319"/>
      <c r="G22" s="291">
        <v>0</v>
      </c>
    </row>
    <row r="23" spans="1:7" ht="18" thickBot="1" x14ac:dyDescent="0.35">
      <c r="A23" s="295" t="s">
        <v>21</v>
      </c>
      <c r="B23" s="292"/>
      <c r="C23" s="293"/>
      <c r="D23" s="293"/>
      <c r="E23" s="293"/>
      <c r="F23" s="293"/>
      <c r="G23" s="294">
        <v>0</v>
      </c>
    </row>
    <row r="24" spans="1:7" ht="15" x14ac:dyDescent="0.3">
      <c r="A24" s="255" t="s">
        <v>38</v>
      </c>
      <c r="B24" s="286"/>
      <c r="C24" s="315"/>
      <c r="D24" s="317"/>
      <c r="E24" s="318"/>
      <c r="F24" s="319"/>
      <c r="G24" s="291">
        <v>0</v>
      </c>
    </row>
    <row r="25" spans="1:7" ht="15" x14ac:dyDescent="0.3">
      <c r="A25" s="255" t="s">
        <v>41</v>
      </c>
      <c r="B25" s="286"/>
      <c r="C25" s="315"/>
      <c r="D25" s="317"/>
      <c r="E25" s="318"/>
      <c r="F25" s="319"/>
      <c r="G25" s="291">
        <v>0</v>
      </c>
    </row>
    <row r="26" spans="1:7" ht="15.6" thickBot="1" x14ac:dyDescent="0.35">
      <c r="A26" s="255" t="s">
        <v>44</v>
      </c>
      <c r="B26" s="286"/>
      <c r="C26" s="315"/>
      <c r="D26" s="317"/>
      <c r="E26" s="318"/>
      <c r="F26" s="319"/>
      <c r="G26" s="291">
        <v>0</v>
      </c>
    </row>
    <row r="27" spans="1:7" ht="18" thickBot="1" x14ac:dyDescent="0.35">
      <c r="A27" s="254" t="s">
        <v>261</v>
      </c>
      <c r="B27" s="257"/>
      <c r="C27" s="258"/>
      <c r="D27" s="258"/>
      <c r="E27" s="258"/>
      <c r="F27" s="258"/>
      <c r="G27" s="259">
        <v>0</v>
      </c>
    </row>
    <row r="28" spans="1:7" x14ac:dyDescent="0.3">
      <c r="A28"/>
      <c r="B28"/>
      <c r="C28"/>
      <c r="D28"/>
      <c r="E28"/>
      <c r="F28"/>
      <c r="G28"/>
    </row>
    <row r="29" spans="1:7" ht="15" thickBot="1" x14ac:dyDescent="0.35">
      <c r="A29"/>
      <c r="B29"/>
      <c r="C29"/>
      <c r="D29"/>
      <c r="E29"/>
      <c r="F29"/>
      <c r="G29"/>
    </row>
    <row r="30" spans="1:7" x14ac:dyDescent="0.3">
      <c r="A30"/>
      <c r="B30"/>
      <c r="C30"/>
      <c r="D30"/>
      <c r="E30"/>
      <c r="F30"/>
    </row>
    <row r="31" spans="1:7" x14ac:dyDescent="0.3">
      <c r="A31"/>
      <c r="B31"/>
      <c r="C31"/>
      <c r="D31"/>
      <c r="E31"/>
      <c r="F31"/>
    </row>
    <row r="32" spans="1:7" x14ac:dyDescent="0.3">
      <c r="A32"/>
      <c r="B32"/>
      <c r="C32"/>
      <c r="D32"/>
      <c r="E32"/>
      <c r="F32"/>
    </row>
    <row r="33" spans="1:6" x14ac:dyDescent="0.3">
      <c r="A33"/>
      <c r="B33"/>
      <c r="C33"/>
      <c r="D33"/>
      <c r="E33"/>
      <c r="F33"/>
    </row>
    <row r="34" spans="1:6" x14ac:dyDescent="0.3">
      <c r="A34"/>
      <c r="B34"/>
      <c r="C34"/>
      <c r="D34"/>
      <c r="E34"/>
      <c r="F34"/>
    </row>
    <row r="35" spans="1:6" x14ac:dyDescent="0.3">
      <c r="A35"/>
      <c r="B35"/>
      <c r="C35"/>
      <c r="D35"/>
      <c r="E35"/>
      <c r="F35"/>
    </row>
    <row r="36" spans="1:6" x14ac:dyDescent="0.3">
      <c r="A36"/>
      <c r="B36"/>
      <c r="C36"/>
      <c r="D36"/>
      <c r="E36"/>
      <c r="F36"/>
    </row>
    <row r="37" spans="1:6" x14ac:dyDescent="0.3">
      <c r="A37"/>
      <c r="B37"/>
      <c r="C37"/>
      <c r="D37"/>
      <c r="E37"/>
      <c r="F37"/>
    </row>
    <row r="38" spans="1:6" x14ac:dyDescent="0.3">
      <c r="A38"/>
      <c r="B38"/>
      <c r="C38"/>
      <c r="D38"/>
      <c r="E38"/>
      <c r="F38"/>
    </row>
    <row r="39" spans="1:6" x14ac:dyDescent="0.3">
      <c r="A39"/>
      <c r="B39"/>
      <c r="C39"/>
      <c r="D39"/>
      <c r="E39"/>
      <c r="F39"/>
    </row>
    <row r="40" spans="1:6" x14ac:dyDescent="0.3">
      <c r="A40"/>
      <c r="B40"/>
      <c r="C40"/>
      <c r="D40"/>
      <c r="E40"/>
      <c r="F40"/>
    </row>
    <row r="41" spans="1:6" x14ac:dyDescent="0.3">
      <c r="A41"/>
      <c r="B41"/>
      <c r="C41"/>
      <c r="D41"/>
      <c r="E41"/>
      <c r="F41"/>
    </row>
    <row r="42" spans="1:6" x14ac:dyDescent="0.3">
      <c r="A42"/>
      <c r="B42"/>
      <c r="C42"/>
      <c r="D42"/>
      <c r="E42"/>
      <c r="F42"/>
    </row>
    <row r="43" spans="1:6" x14ac:dyDescent="0.3">
      <c r="A43"/>
      <c r="B43"/>
      <c r="C43"/>
      <c r="D43"/>
      <c r="E43"/>
      <c r="F43"/>
    </row>
    <row r="44" spans="1:6" x14ac:dyDescent="0.3">
      <c r="A44"/>
      <c r="B44"/>
      <c r="C44"/>
      <c r="D44"/>
      <c r="E44"/>
      <c r="F44"/>
    </row>
    <row r="45" spans="1:6" x14ac:dyDescent="0.3">
      <c r="A45"/>
      <c r="B45"/>
      <c r="C45"/>
      <c r="D45"/>
      <c r="E45"/>
      <c r="F45"/>
    </row>
    <row r="46" spans="1:6" x14ac:dyDescent="0.3">
      <c r="A46"/>
      <c r="B46"/>
      <c r="C46"/>
      <c r="D46"/>
      <c r="E46"/>
      <c r="F46"/>
    </row>
    <row r="47" spans="1:6" x14ac:dyDescent="0.3">
      <c r="A47"/>
      <c r="B47"/>
      <c r="C47"/>
      <c r="D47"/>
      <c r="E47"/>
      <c r="F47"/>
    </row>
    <row r="48" spans="1:6" x14ac:dyDescent="0.3">
      <c r="A48"/>
      <c r="B48"/>
      <c r="C48"/>
      <c r="D48"/>
      <c r="E48"/>
      <c r="F48"/>
    </row>
    <row r="49" spans="1:6" x14ac:dyDescent="0.3">
      <c r="A49"/>
      <c r="B49"/>
      <c r="C49"/>
      <c r="D49"/>
      <c r="E49"/>
      <c r="F49"/>
    </row>
    <row r="50" spans="1:6" x14ac:dyDescent="0.3">
      <c r="A50"/>
      <c r="B50"/>
      <c r="C50"/>
      <c r="D50"/>
      <c r="E50"/>
      <c r="F50"/>
    </row>
    <row r="51" spans="1:6" x14ac:dyDescent="0.3">
      <c r="A51"/>
      <c r="B51"/>
      <c r="C51"/>
      <c r="D51"/>
      <c r="E51"/>
      <c r="F51"/>
    </row>
    <row r="52" spans="1:6" x14ac:dyDescent="0.3">
      <c r="A52"/>
      <c r="B52"/>
      <c r="C52"/>
      <c r="D52"/>
      <c r="E52"/>
      <c r="F52"/>
    </row>
    <row r="53" spans="1:6" x14ac:dyDescent="0.3">
      <c r="A53"/>
      <c r="B53"/>
      <c r="C53"/>
      <c r="D53"/>
      <c r="E53"/>
      <c r="F53"/>
    </row>
    <row r="54" spans="1:6" x14ac:dyDescent="0.3">
      <c r="A54"/>
      <c r="B54"/>
      <c r="C54"/>
      <c r="D54"/>
      <c r="E54"/>
      <c r="F54"/>
    </row>
    <row r="55" spans="1:6" x14ac:dyDescent="0.3">
      <c r="A55"/>
      <c r="B55"/>
      <c r="C55"/>
      <c r="D55"/>
      <c r="E55"/>
      <c r="F55"/>
    </row>
    <row r="56" spans="1:6" x14ac:dyDescent="0.3">
      <c r="A56"/>
      <c r="B56"/>
      <c r="C56"/>
      <c r="D56"/>
      <c r="E56"/>
      <c r="F56"/>
    </row>
    <row r="57" spans="1:6" x14ac:dyDescent="0.3">
      <c r="A57"/>
      <c r="B57"/>
      <c r="C57"/>
      <c r="D57"/>
      <c r="E57"/>
      <c r="F57"/>
    </row>
    <row r="58" spans="1:6" x14ac:dyDescent="0.3">
      <c r="A58"/>
      <c r="B58"/>
      <c r="C58"/>
      <c r="D58"/>
      <c r="E58"/>
      <c r="F58"/>
    </row>
    <row r="59" spans="1:6" x14ac:dyDescent="0.3">
      <c r="A59"/>
      <c r="B59"/>
      <c r="C59"/>
      <c r="D59"/>
      <c r="E59"/>
      <c r="F59"/>
    </row>
    <row r="60" spans="1:6" x14ac:dyDescent="0.3">
      <c r="A60"/>
      <c r="B60"/>
      <c r="C60"/>
      <c r="D60"/>
      <c r="E60"/>
      <c r="F60"/>
    </row>
    <row r="61" spans="1:6" x14ac:dyDescent="0.3">
      <c r="A61"/>
      <c r="B61"/>
      <c r="C61"/>
      <c r="D61"/>
      <c r="E61"/>
      <c r="F61"/>
    </row>
    <row r="62" spans="1:6" x14ac:dyDescent="0.3">
      <c r="A62"/>
      <c r="B62"/>
      <c r="C62"/>
      <c r="D62"/>
      <c r="E62"/>
      <c r="F62"/>
    </row>
    <row r="63" spans="1:6" x14ac:dyDescent="0.3">
      <c r="A63"/>
      <c r="B63"/>
      <c r="C63"/>
      <c r="D63"/>
      <c r="E63"/>
      <c r="F63"/>
    </row>
  </sheetData>
  <printOptions horizontalCentered="1"/>
  <pageMargins left="0.19685039370078741" right="0.19685039370078741" top="0.98425196850393704" bottom="0.19685039370078741" header="0.19685039370078741" footer="0.19685039370078741"/>
  <pageSetup paperSize="9" scale="50" fitToHeight="0" orientation="landscape" r:id="rId2"/>
  <headerFooter>
    <oddHeader>&amp;L&amp;"Century Gothic,Negrita"&amp;36&amp;G &amp;A&amp;R&amp;G</oddHeader>
    <oddFooter>&amp;C&amp;"Century Gothic,Normal"&amp;9&amp;F&amp;R&amp;"Century Gothic,Normal"&amp;9Page &amp;P of &amp;N</oddFooter>
  </headerFooter>
  <legacyDrawingHF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999D73-85E9-47F0-8CF7-BD803A9F6DC8}">
  <sheetPr>
    <tabColor rgb="FF92D050"/>
  </sheetPr>
  <dimension ref="A1:R72"/>
  <sheetViews>
    <sheetView showGridLines="0" topLeftCell="A19" zoomScale="70" zoomScaleNormal="70" workbookViewId="0">
      <selection activeCell="B37" sqref="B37"/>
    </sheetView>
  </sheetViews>
  <sheetFormatPr baseColWidth="10" defaultColWidth="11.5546875" defaultRowHeight="13.8" x14ac:dyDescent="0.25"/>
  <cols>
    <col min="1" max="1" width="4.109375" style="236" customWidth="1"/>
    <col min="2" max="2" width="37.109375" style="236" bestFit="1" customWidth="1"/>
    <col min="3" max="6" width="13.44140625" style="236" customWidth="1"/>
    <col min="7" max="7" width="13.109375" style="236" customWidth="1"/>
    <col min="8" max="8" width="3.33203125" style="236" customWidth="1"/>
    <col min="9" max="9" width="32.109375" style="236" bestFit="1" customWidth="1"/>
    <col min="10" max="10" width="8" style="236" bestFit="1" customWidth="1"/>
    <col min="11" max="11" width="3.33203125" style="236" customWidth="1"/>
    <col min="12" max="12" width="22.5546875" style="236" bestFit="1" customWidth="1"/>
    <col min="13" max="13" width="14.109375" style="236" bestFit="1" customWidth="1"/>
    <col min="14" max="14" width="12" style="236" bestFit="1" customWidth="1"/>
    <col min="15" max="15" width="11.5546875" style="236"/>
    <col min="16" max="16" width="9.44140625" style="236" customWidth="1"/>
    <col min="17" max="16384" width="11.5546875" style="236"/>
  </cols>
  <sheetData>
    <row r="1" spans="1:16" ht="17.399999999999999" x14ac:dyDescent="0.25">
      <c r="A1" s="237" t="s">
        <v>252</v>
      </c>
    </row>
    <row r="3" spans="1:16" s="280" customFormat="1" ht="17.399999999999999" x14ac:dyDescent="0.25">
      <c r="B3" s="281" t="s">
        <v>263</v>
      </c>
      <c r="C3" s="281"/>
      <c r="D3" s="281"/>
      <c r="E3" s="281"/>
      <c r="F3" s="281"/>
      <c r="G3" s="281"/>
      <c r="I3" s="281" t="s">
        <v>227</v>
      </c>
      <c r="J3" s="281"/>
      <c r="K3" s="236"/>
      <c r="L3" s="281" t="s">
        <v>264</v>
      </c>
      <c r="M3" s="281"/>
      <c r="N3" s="281"/>
      <c r="O3" s="281"/>
      <c r="P3" s="281"/>
    </row>
    <row r="4" spans="1:16" ht="9" customHeight="1" thickBot="1" x14ac:dyDescent="0.3"/>
    <row r="5" spans="1:16" ht="15" hidden="1" thickBot="1" x14ac:dyDescent="0.35">
      <c r="B5" s="265"/>
      <c r="C5" s="312" t="s">
        <v>253</v>
      </c>
      <c r="D5"/>
      <c r="E5"/>
      <c r="F5"/>
      <c r="G5"/>
      <c r="H5"/>
    </row>
    <row r="6" spans="1:16" ht="15" thickBot="1" x14ac:dyDescent="0.35">
      <c r="B6" s="261" t="s">
        <v>262</v>
      </c>
      <c r="C6" s="260" t="s">
        <v>260</v>
      </c>
      <c r="D6"/>
      <c r="E6"/>
      <c r="F6"/>
      <c r="G6"/>
      <c r="H6"/>
      <c r="I6" s="278" t="s">
        <v>244</v>
      </c>
      <c r="J6" s="266" t="s">
        <v>259</v>
      </c>
      <c r="M6" s="275" t="s">
        <v>171</v>
      </c>
      <c r="N6" s="268" t="s">
        <v>259</v>
      </c>
      <c r="O6"/>
    </row>
    <row r="7" spans="1:16" ht="15" thickBot="1" x14ac:dyDescent="0.35">
      <c r="B7" s="262" t="s">
        <v>254</v>
      </c>
      <c r="C7" s="263"/>
      <c r="D7"/>
      <c r="E7"/>
      <c r="F7"/>
      <c r="G7"/>
      <c r="H7"/>
      <c r="I7" s="270" t="s">
        <v>261</v>
      </c>
      <c r="J7" s="271"/>
      <c r="M7" s="267" t="s">
        <v>261</v>
      </c>
      <c r="N7" s="269"/>
      <c r="O7"/>
    </row>
    <row r="8" spans="1:16" ht="14.4" x14ac:dyDescent="0.3">
      <c r="B8" s="262" t="s">
        <v>255</v>
      </c>
      <c r="C8" s="264"/>
      <c r="D8"/>
      <c r="E8"/>
      <c r="F8"/>
      <c r="G8"/>
      <c r="H8"/>
      <c r="I8"/>
      <c r="J8"/>
      <c r="M8"/>
      <c r="N8"/>
      <c r="O8"/>
    </row>
    <row r="9" spans="1:16" ht="15" thickBot="1" x14ac:dyDescent="0.35">
      <c r="B9" s="262" t="s">
        <v>256</v>
      </c>
      <c r="C9" s="264"/>
      <c r="D9"/>
      <c r="E9"/>
      <c r="F9"/>
      <c r="G9"/>
      <c r="H9"/>
      <c r="I9"/>
      <c r="J9"/>
      <c r="M9"/>
      <c r="N9"/>
      <c r="O9"/>
    </row>
    <row r="10" spans="1:16" ht="14.4" x14ac:dyDescent="0.3">
      <c r="B10" s="262" t="s">
        <v>257</v>
      </c>
      <c r="C10" s="264"/>
      <c r="D10"/>
      <c r="E10"/>
      <c r="F10"/>
      <c r="G10"/>
      <c r="H10"/>
      <c r="I10"/>
      <c r="J10"/>
      <c r="M10"/>
      <c r="N10"/>
      <c r="O10"/>
    </row>
    <row r="11" spans="1:16" ht="14.4" x14ac:dyDescent="0.3">
      <c r="B11" s="262" t="s">
        <v>258</v>
      </c>
      <c r="C11" s="264"/>
      <c r="D11"/>
      <c r="E11"/>
      <c r="F11"/>
      <c r="G11"/>
      <c r="H11"/>
      <c r="I11"/>
      <c r="J11"/>
      <c r="M11"/>
      <c r="N11"/>
      <c r="O11"/>
    </row>
    <row r="12" spans="1:16" ht="15" thickBot="1" x14ac:dyDescent="0.35">
      <c r="B12" s="277" t="s">
        <v>259</v>
      </c>
      <c r="C12" s="276"/>
      <c r="D12"/>
      <c r="E12"/>
      <c r="F12"/>
      <c r="G12"/>
      <c r="H12"/>
      <c r="I12"/>
      <c r="J12"/>
      <c r="M12"/>
      <c r="N12"/>
      <c r="O12"/>
    </row>
    <row r="13" spans="1:16" ht="14.4" x14ac:dyDescent="0.3">
      <c r="B13"/>
      <c r="C13"/>
      <c r="D13"/>
      <c r="I13"/>
      <c r="J13"/>
      <c r="M13"/>
      <c r="N13"/>
      <c r="O13"/>
    </row>
    <row r="14" spans="1:16" ht="14.4" x14ac:dyDescent="0.3">
      <c r="B14"/>
      <c r="C14"/>
      <c r="D14"/>
      <c r="I14"/>
      <c r="J14"/>
      <c r="M14"/>
      <c r="N14"/>
      <c r="O14"/>
    </row>
    <row r="15" spans="1:16" ht="14.4" x14ac:dyDescent="0.3">
      <c r="B15"/>
      <c r="C15"/>
      <c r="D15"/>
      <c r="I15"/>
      <c r="J15"/>
      <c r="M15"/>
      <c r="N15"/>
      <c r="O15"/>
    </row>
    <row r="16" spans="1:16" ht="14.4" x14ac:dyDescent="0.3">
      <c r="B16"/>
      <c r="C16"/>
      <c r="D16"/>
      <c r="I16"/>
      <c r="J16"/>
      <c r="M16"/>
      <c r="N16"/>
      <c r="O16"/>
    </row>
    <row r="17" spans="2:18" ht="14.4" x14ac:dyDescent="0.3">
      <c r="B17"/>
      <c r="C17"/>
      <c r="D17"/>
      <c r="I17"/>
      <c r="J17"/>
      <c r="M17"/>
      <c r="N17"/>
      <c r="O17"/>
    </row>
    <row r="18" spans="2:18" ht="14.4" x14ac:dyDescent="0.3">
      <c r="B18"/>
      <c r="C18"/>
      <c r="D18"/>
      <c r="I18"/>
      <c r="J18"/>
      <c r="M18"/>
      <c r="N18"/>
      <c r="O18"/>
    </row>
    <row r="19" spans="2:18" ht="14.4" x14ac:dyDescent="0.3">
      <c r="B19"/>
      <c r="C19"/>
      <c r="D19"/>
      <c r="I19"/>
      <c r="J19"/>
      <c r="M19"/>
      <c r="N19"/>
      <c r="O19"/>
    </row>
    <row r="20" spans="2:18" ht="14.4" x14ac:dyDescent="0.3">
      <c r="B20"/>
      <c r="C20"/>
      <c r="D20"/>
      <c r="I20"/>
      <c r="J20"/>
      <c r="M20"/>
      <c r="N20"/>
      <c r="O20"/>
    </row>
    <row r="21" spans="2:18" ht="14.4" x14ac:dyDescent="0.3">
      <c r="B21"/>
      <c r="C21"/>
      <c r="D21"/>
      <c r="I21"/>
      <c r="J21"/>
      <c r="M21"/>
      <c r="N21"/>
      <c r="O21"/>
    </row>
    <row r="22" spans="2:18" ht="14.4" x14ac:dyDescent="0.3">
      <c r="B22"/>
      <c r="C22"/>
      <c r="D22"/>
      <c r="I22"/>
      <c r="J22"/>
      <c r="M22"/>
      <c r="N22"/>
      <c r="O22"/>
    </row>
    <row r="23" spans="2:18" ht="14.4" x14ac:dyDescent="0.3">
      <c r="I23"/>
      <c r="J23"/>
      <c r="M23"/>
      <c r="N23"/>
      <c r="O23"/>
    </row>
    <row r="30" spans="2:18" ht="17.399999999999999" x14ac:dyDescent="0.25">
      <c r="B30" s="281" t="s">
        <v>265</v>
      </c>
      <c r="C30" s="281"/>
      <c r="D30" s="281"/>
      <c r="E30" s="281"/>
      <c r="F30" s="281"/>
      <c r="G30" s="281"/>
      <c r="I30" s="281" t="s">
        <v>266</v>
      </c>
      <c r="J30" s="281"/>
      <c r="K30" s="281"/>
      <c r="L30" s="281"/>
      <c r="M30" s="281"/>
      <c r="N30" s="281"/>
      <c r="O30" s="281"/>
    </row>
    <row r="31" spans="2:18" ht="6.9" customHeight="1" thickBot="1" x14ac:dyDescent="0.3"/>
    <row r="32" spans="2:18" s="282" customFormat="1" ht="17.399999999999999" hidden="1" thickBot="1" x14ac:dyDescent="0.35">
      <c r="H32" s="283"/>
      <c r="I32" s="285" t="s">
        <v>170</v>
      </c>
      <c r="J32" s="284" t="s">
        <v>270</v>
      </c>
      <c r="P32"/>
      <c r="Q32"/>
      <c r="R32"/>
    </row>
    <row r="33" spans="2:18" ht="6.9" hidden="1" customHeight="1" thickBot="1" x14ac:dyDescent="0.3"/>
    <row r="34" spans="2:18" ht="15" thickBot="1" x14ac:dyDescent="0.35">
      <c r="B34" s="273" t="s">
        <v>170</v>
      </c>
      <c r="C34" s="266" t="s">
        <v>259</v>
      </c>
      <c r="D34"/>
      <c r="I34" s="272" t="s">
        <v>271</v>
      </c>
      <c r="J34" s="272"/>
      <c r="K34"/>
      <c r="L34"/>
      <c r="M34"/>
      <c r="N34"/>
      <c r="O34"/>
      <c r="P34"/>
      <c r="Q34"/>
      <c r="R34"/>
    </row>
    <row r="35" spans="2:18" ht="15" thickBot="1" x14ac:dyDescent="0.35">
      <c r="B35" s="270" t="s">
        <v>261</v>
      </c>
      <c r="C35" s="274"/>
      <c r="D35"/>
      <c r="I35" s="262" t="s">
        <v>267</v>
      </c>
      <c r="J35" s="310"/>
      <c r="K35"/>
      <c r="L35"/>
      <c r="M35"/>
      <c r="N35"/>
      <c r="O35"/>
      <c r="P35"/>
      <c r="Q35"/>
      <c r="R35"/>
    </row>
    <row r="36" spans="2:18" ht="14.4" x14ac:dyDescent="0.3">
      <c r="B36"/>
      <c r="C36"/>
      <c r="D36"/>
      <c r="I36" s="262" t="s">
        <v>268</v>
      </c>
      <c r="J36" s="310"/>
      <c r="K36"/>
      <c r="L36"/>
      <c r="M36"/>
      <c r="N36"/>
      <c r="O36"/>
      <c r="P36"/>
      <c r="Q36"/>
      <c r="R36"/>
    </row>
    <row r="37" spans="2:18" ht="14.4" x14ac:dyDescent="0.3">
      <c r="B37"/>
      <c r="C37"/>
      <c r="D37"/>
      <c r="I37" s="262" t="s">
        <v>269</v>
      </c>
      <c r="J37" s="310"/>
      <c r="K37"/>
      <c r="L37"/>
      <c r="M37"/>
      <c r="N37"/>
      <c r="O37"/>
      <c r="P37"/>
      <c r="Q37"/>
      <c r="R37"/>
    </row>
    <row r="38" spans="2:18" ht="15" thickBot="1" x14ac:dyDescent="0.35">
      <c r="B38"/>
      <c r="C38"/>
      <c r="D38"/>
      <c r="I38" s="262" t="s">
        <v>257</v>
      </c>
      <c r="J38" s="310"/>
      <c r="K38"/>
      <c r="L38"/>
      <c r="M38"/>
      <c r="N38"/>
      <c r="O38"/>
      <c r="P38"/>
      <c r="Q38"/>
      <c r="R38"/>
    </row>
    <row r="39" spans="2:18" ht="15" thickBot="1" x14ac:dyDescent="0.35">
      <c r="B39"/>
      <c r="C39"/>
      <c r="D39"/>
      <c r="I39" s="279" t="s">
        <v>258</v>
      </c>
      <c r="J39" s="311"/>
      <c r="K39"/>
      <c r="L39"/>
      <c r="M39"/>
      <c r="N39"/>
      <c r="O39"/>
      <c r="P39"/>
      <c r="Q39"/>
      <c r="R39"/>
    </row>
    <row r="40" spans="2:18" ht="14.4" x14ac:dyDescent="0.3">
      <c r="B40"/>
      <c r="C40"/>
      <c r="D40"/>
      <c r="I40"/>
      <c r="J40"/>
      <c r="K40"/>
      <c r="L40"/>
      <c r="M40"/>
      <c r="N40"/>
      <c r="O40"/>
      <c r="P40"/>
      <c r="Q40"/>
      <c r="R40"/>
    </row>
    <row r="41" spans="2:18" ht="14.4" x14ac:dyDescent="0.3">
      <c r="B41"/>
      <c r="C41"/>
      <c r="D41"/>
      <c r="I41"/>
      <c r="J41"/>
      <c r="K41"/>
      <c r="L41"/>
      <c r="M41"/>
      <c r="N41"/>
      <c r="O41"/>
      <c r="P41"/>
      <c r="Q41"/>
      <c r="R41"/>
    </row>
    <row r="43" spans="2:18" ht="14.4" x14ac:dyDescent="0.3">
      <c r="B43"/>
      <c r="C43"/>
      <c r="D43"/>
      <c r="I43"/>
      <c r="J43"/>
      <c r="K43"/>
      <c r="L43"/>
      <c r="M43"/>
      <c r="N43"/>
      <c r="O43"/>
      <c r="P43"/>
      <c r="Q43"/>
      <c r="R43"/>
    </row>
    <row r="44" spans="2:18" ht="14.4" x14ac:dyDescent="0.3">
      <c r="B44"/>
      <c r="C44"/>
      <c r="D44"/>
      <c r="I44"/>
      <c r="J44"/>
      <c r="K44"/>
      <c r="L44"/>
      <c r="M44"/>
      <c r="N44"/>
      <c r="O44"/>
      <c r="P44"/>
      <c r="Q44"/>
      <c r="R44"/>
    </row>
    <row r="45" spans="2:18" ht="14.4" x14ac:dyDescent="0.3">
      <c r="B45"/>
      <c r="C45"/>
      <c r="D45"/>
      <c r="I45"/>
      <c r="J45"/>
      <c r="K45"/>
      <c r="L45"/>
      <c r="M45"/>
      <c r="N45"/>
      <c r="O45"/>
      <c r="P45"/>
      <c r="Q45"/>
      <c r="R45"/>
    </row>
    <row r="46" spans="2:18" ht="14.4" x14ac:dyDescent="0.3">
      <c r="B46"/>
      <c r="C46"/>
      <c r="D46"/>
      <c r="I46"/>
      <c r="J46"/>
      <c r="K46"/>
      <c r="L46"/>
      <c r="M46"/>
      <c r="N46"/>
      <c r="O46"/>
      <c r="P46"/>
      <c r="Q46"/>
      <c r="R46"/>
    </row>
    <row r="47" spans="2:18" ht="14.4" x14ac:dyDescent="0.3">
      <c r="B47"/>
      <c r="C47"/>
      <c r="D47"/>
      <c r="I47"/>
      <c r="J47"/>
      <c r="K47"/>
      <c r="L47"/>
      <c r="M47"/>
      <c r="N47"/>
      <c r="O47"/>
      <c r="P47"/>
      <c r="Q47"/>
      <c r="R47"/>
    </row>
    <row r="48" spans="2:18" ht="14.4" x14ac:dyDescent="0.3">
      <c r="B48"/>
      <c r="C48"/>
      <c r="D48"/>
      <c r="I48"/>
      <c r="J48"/>
      <c r="K48"/>
      <c r="L48"/>
      <c r="M48"/>
      <c r="N48"/>
      <c r="O48"/>
      <c r="P48"/>
      <c r="Q48"/>
      <c r="R48"/>
    </row>
    <row r="49" spans="2:18" ht="14.4" x14ac:dyDescent="0.3">
      <c r="B49"/>
      <c r="C49"/>
      <c r="D49"/>
      <c r="I49"/>
      <c r="J49"/>
      <c r="K49"/>
      <c r="L49"/>
      <c r="M49"/>
      <c r="N49"/>
      <c r="O49"/>
      <c r="P49"/>
      <c r="Q49"/>
      <c r="R49"/>
    </row>
    <row r="50" spans="2:18" ht="14.4" x14ac:dyDescent="0.3">
      <c r="B50"/>
      <c r="C50"/>
      <c r="D50"/>
      <c r="I50"/>
      <c r="J50"/>
      <c r="K50"/>
      <c r="L50"/>
      <c r="M50"/>
      <c r="N50"/>
      <c r="O50"/>
      <c r="P50"/>
      <c r="Q50"/>
      <c r="R50"/>
    </row>
    <row r="51" spans="2:18" ht="14.4" x14ac:dyDescent="0.3">
      <c r="B51"/>
      <c r="C51"/>
      <c r="D51"/>
      <c r="I51"/>
      <c r="J51"/>
      <c r="K51"/>
      <c r="L51"/>
      <c r="M51"/>
      <c r="N51"/>
      <c r="O51"/>
      <c r="P51"/>
      <c r="Q51"/>
      <c r="R51"/>
    </row>
    <row r="52" spans="2:18" ht="14.4" x14ac:dyDescent="0.3">
      <c r="I52"/>
      <c r="J52"/>
      <c r="K52"/>
      <c r="L52"/>
      <c r="M52"/>
    </row>
    <row r="53" spans="2:18" ht="15" thickBot="1" x14ac:dyDescent="0.35">
      <c r="I53"/>
      <c r="J53"/>
      <c r="K53"/>
      <c r="L53"/>
      <c r="M53"/>
    </row>
    <row r="54" spans="2:18" ht="14.4" x14ac:dyDescent="0.3">
      <c r="I54"/>
      <c r="J54"/>
      <c r="K54"/>
      <c r="L54"/>
      <c r="M54"/>
    </row>
    <row r="55" spans="2:18" ht="14.4" x14ac:dyDescent="0.3">
      <c r="I55"/>
      <c r="J55"/>
      <c r="K55"/>
      <c r="L55"/>
      <c r="M55"/>
    </row>
    <row r="56" spans="2:18" ht="14.4" x14ac:dyDescent="0.3">
      <c r="I56"/>
      <c r="J56"/>
      <c r="K56"/>
      <c r="L56"/>
      <c r="M56"/>
    </row>
    <row r="57" spans="2:18" ht="14.4" x14ac:dyDescent="0.3">
      <c r="I57"/>
      <c r="J57"/>
      <c r="K57"/>
      <c r="L57"/>
      <c r="M57"/>
    </row>
    <row r="58" spans="2:18" ht="14.4" x14ac:dyDescent="0.3">
      <c r="I58"/>
      <c r="J58"/>
    </row>
    <row r="59" spans="2:18" ht="14.4" x14ac:dyDescent="0.3">
      <c r="I59"/>
      <c r="J59"/>
    </row>
    <row r="60" spans="2:18" ht="14.4" x14ac:dyDescent="0.3">
      <c r="I60"/>
      <c r="J60"/>
    </row>
    <row r="61" spans="2:18" ht="14.4" x14ac:dyDescent="0.3">
      <c r="I61"/>
      <c r="J61"/>
    </row>
    <row r="62" spans="2:18" ht="14.4" x14ac:dyDescent="0.3">
      <c r="I62"/>
      <c r="J62"/>
    </row>
    <row r="63" spans="2:18" ht="14.4" x14ac:dyDescent="0.3">
      <c r="I63"/>
      <c r="J63"/>
    </row>
    <row r="64" spans="2:18" ht="14.4" x14ac:dyDescent="0.3">
      <c r="I64"/>
      <c r="J64"/>
    </row>
    <row r="65" spans="9:11" ht="14.4" x14ac:dyDescent="0.3">
      <c r="I65"/>
      <c r="J65"/>
    </row>
    <row r="66" spans="9:11" ht="14.4" x14ac:dyDescent="0.3">
      <c r="I66"/>
      <c r="J66"/>
      <c r="K66"/>
    </row>
    <row r="67" spans="9:11" ht="14.4" x14ac:dyDescent="0.3">
      <c r="I67"/>
      <c r="J67"/>
      <c r="K67"/>
    </row>
    <row r="68" spans="9:11" ht="14.4" x14ac:dyDescent="0.3">
      <c r="I68"/>
      <c r="J68"/>
      <c r="K68"/>
    </row>
    <row r="69" spans="9:11" ht="14.4" x14ac:dyDescent="0.3">
      <c r="I69"/>
      <c r="J69"/>
      <c r="K69"/>
    </row>
    <row r="70" spans="9:11" ht="14.4" x14ac:dyDescent="0.3">
      <c r="I70"/>
      <c r="J70"/>
      <c r="K70"/>
    </row>
    <row r="71" spans="9:11" ht="14.4" x14ac:dyDescent="0.3">
      <c r="I71"/>
      <c r="J71"/>
      <c r="K71"/>
    </row>
    <row r="72" spans="9:11" ht="14.4" x14ac:dyDescent="0.3">
      <c r="I72"/>
      <c r="J72"/>
      <c r="K72"/>
    </row>
  </sheetData>
  <printOptions horizontalCentered="1"/>
  <pageMargins left="0.19685039370078741" right="0.19685039370078741" top="0.98425196850393704" bottom="0.19685039370078741" header="0.19685039370078741" footer="0.19685039370078741"/>
  <pageSetup paperSize="9" scale="50" fitToHeight="0" orientation="landscape" r:id="rId6"/>
  <headerFooter>
    <oddHeader>&amp;L&amp;"Century Gothic,Negrita"&amp;36&amp;G &amp;A&amp;R&amp;G</oddHeader>
    <oddFooter>&amp;C&amp;"Century Gothic,Normal"&amp;9&amp;F&amp;R&amp;"Century Gothic,Normal"&amp;9Page &amp;P of &amp;N</oddFooter>
  </headerFooter>
  <drawing r:id="rId7"/>
  <legacyDrawingHF r:id="rId8"/>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29</vt:i4>
      </vt:variant>
    </vt:vector>
  </HeadingPairs>
  <TitlesOfParts>
    <vt:vector size="36" baseType="lpstr">
      <vt:lpstr>00 Category Data</vt:lpstr>
      <vt:lpstr>00 Item Data</vt:lpstr>
      <vt:lpstr>00 Asset Data</vt:lpstr>
      <vt:lpstr>Legend</vt:lpstr>
      <vt:lpstr>CapEx</vt:lpstr>
      <vt:lpstr>CapEx Summary</vt:lpstr>
      <vt:lpstr>Charts &amp; Hard Costs Breakdown</vt:lpstr>
      <vt:lpstr>CapEx!Área_de_impresión</vt:lpstr>
      <vt:lpstr>'CapEx Summary'!Área_de_impresión</vt:lpstr>
      <vt:lpstr>'Charts &amp; Hard Costs Breakdown'!Área_de_impresión</vt:lpstr>
      <vt:lpstr>Legend!Área_de_impresión</vt:lpstr>
      <vt:lpstr>Environmental</vt:lpstr>
      <vt:lpstr>ESG</vt:lpstr>
      <vt:lpstr>ESG_Energía</vt:lpstr>
      <vt:lpstr>H01.Structure</vt:lpstr>
      <vt:lpstr>H02.Roof</vt:lpstr>
      <vt:lpstr>H03.Facades</vt:lpstr>
      <vt:lpstr>H04.Interiors</vt:lpstr>
      <vt:lpstr>H05.External_Areas</vt:lpstr>
      <vt:lpstr>H06.Passive_Fire_Protection</vt:lpstr>
      <vt:lpstr>H07.Accessibility</vt:lpstr>
      <vt:lpstr>H08.HVAC</vt:lpstr>
      <vt:lpstr>H09.Electrical</vt:lpstr>
      <vt:lpstr>H10.Active_Fire_Protection</vt:lpstr>
      <vt:lpstr>H11.Plumbing_and_Drainage</vt:lpstr>
      <vt:lpstr>H12.Vertical_Transportation_and_Mechanical_Doors</vt:lpstr>
      <vt:lpstr>H13.Security_CCTV_and_BMS</vt:lpstr>
      <vt:lpstr>H14.Telecommunications_Voice_and_Data</vt:lpstr>
      <vt:lpstr>H15.Others</vt:lpstr>
      <vt:lpstr>Hard_Cost</vt:lpstr>
      <vt:lpstr>HH01.Structure</vt:lpstr>
      <vt:lpstr>Imprevistos</vt:lpstr>
      <vt:lpstr>Mediambiente</vt:lpstr>
      <vt:lpstr>Operativos</vt:lpstr>
      <vt:lpstr>Soft_Cost</vt:lpstr>
      <vt:lpstr>CapEx!Títulos_a_imprimir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Javier Cabrero Bravo</dc:creator>
  <cp:lastModifiedBy>Javier Cabrero Bravo</cp:lastModifiedBy>
  <cp:lastPrinted>2026-06-03T06:09:28Z</cp:lastPrinted>
  <dcterms:created xsi:type="dcterms:W3CDTF">2015-01-22T06:52:04Z</dcterms:created>
  <dcterms:modified xsi:type="dcterms:W3CDTF">2026-07-23T11:15:05Z</dcterms:modified>
</cp:coreProperties>
</file>