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CapEx!$A$9:$Q$293</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o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<sst xmlns="http://schemas.openxmlformats.org/spreadsheetml/2006/main" count="1414" uniqueCount="269">
  <si>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</si>
  <si>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</si>
  <si>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</si>
  <si>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</si>
  <si>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</si>
  <si>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</si>
  <si>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</si>
  <si>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</si>
  <si>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</si>
  <si>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</si>
  <si>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</si>
  <si>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</si>
  <si>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</si>
  <si>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</si>
  <si>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</si>
  <si>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</si>
  <si>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</si>
  <si>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</si>
  <si>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</si>
  <si>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</si>
  <si>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</si>
  <si>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</si>
  <si>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</si>
  <si>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</si>
  <si>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</si>
  <si>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</si>
  <si>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</si>
  <si>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</si>
  <si>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</si>
  <si>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</si>
  <si>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</si>
  <si>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</si>
  <si>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</si>
  <si>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</si>
  <si>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</si>
  <si>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</si>
  <si>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</si>
  <si>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</si>
  <si>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</si>
  <si>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</si>
  <si>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</si>
  <si>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</si>
  <si>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</si>
  <si>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</si>
  <si>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</si>
  <si>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</si>
  <si>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</si>
  <si>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</si>
  <si>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</si>
  <si>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</si>
  <si>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</si>
  <si>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</si>
  <si>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</si>
  <si>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</si>
  <si>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</si>
  <si>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</si>
  <si>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</si>
  <si>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</si>
  <si>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</si>
  <si>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</si>
  <si>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</si>
  <si>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</si>
  <si>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</si>
  <si>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</si>
  <si>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</si>
  <si>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</si>
  <si>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</si>
  <si>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</si>
  <si>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</si>
  <si>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</si>
  <si>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</si>
  <si>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</si>
  <si>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</si>
  <si>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</si>
  <si>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</si>
  <si>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</si>
  <si>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</si>
  <si>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</si>
  <si>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</si>
  <si>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</si>
  <si>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</si>
  <si>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</si>
  <si>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</si>
  <si>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</si>
  <si>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</si>
  <si>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</si>
  <si>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</si>
  <si>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</si>
  <si>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</si>
  <si>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</si>
  <si>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</si>
  <si>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</si>
  <si>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</si>
  <si>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</si>
  <si>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</si>
  <si>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</si>
  <si>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</si>
  <si>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</si>
  <si>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</si>
  <si>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</si>
  <si>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</si>
  <si>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</si>
  <si>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</si>
  <si>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</si>
  <si>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</si>
  <si>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</si>
  <si>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</si>
  <si>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</si>
  <si>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</si>
  <si>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</si>
  <si>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</si>
  <si>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</si>
  <si>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</si>
  <si>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</si>
  <si>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</si>
  <si>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</si>
  <si>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</si>
  <si>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</si>
  <si>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</si>
  <si>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</si>
  <si>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</si>
  <si>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</si>
  <si>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</si>
  <si>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</si>
  <si>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</si>
  <si>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</si>
  <si>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</si>
  <si>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fotovoltaicas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</si>
  <si>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</si>
  <si>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</si>
  <si>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</si>
  <si>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</si>
  <si>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</si>
  <si>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</si>
  <si>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</si>
  <si>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</si>
  <si>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</si>
  <si>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</si>
  <si>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</si>
  <si>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</si>
  <si>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</si>
  <si>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</si>
  <si>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</si>
  <si>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</si>
  <si>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</si>
  <si>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</si>
  <si>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</si>
  <si>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</si>
  <si>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</si>
  <si>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</si>
  <si>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</si>
  <si>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</si>
  <si>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</si>
  <si>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</si>
  <si>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</si>
  <si>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</si>
  <si>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</si>
  <si>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</si>
  <si>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</si>
  <si>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</si>
  <si>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</si>
  <si>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</si>
  <si>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</si>
  <si>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</si>
  <si>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</si>
  <si>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</si>
  <si>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</si>
  <si>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</si>
  <si>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</si>
  <si>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</si>
  <si>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</si>
  <si>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</si>
  <si>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</si>
  <si>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</si>
  <si>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</si>
  <si>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</si>
  <si>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</si>
  <si>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</si>
  <si>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</si>
  <si>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</si>
  <si>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</si>
  <si>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</si>
  <si>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</si>
  <si>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</si>
  <si>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WIREDSCORE</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</si>
  <si>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</si>
  <si>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</si>
  <si>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</si>
  <si>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</si>
  <si>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</si>
  <si>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</si>
  <si>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</si>
  <si>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</si>
  <si>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</si>
  <si>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</si>
  <si>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</si>
  <si>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</si>
  <si>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</si>
  <si>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</si>
  <si>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</si>
  <si>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</si>
  <si>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</si>
  <si>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</si>
  <si>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</si>
  <si>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</si>
  <si>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</si>
  <si>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</si>
  <si>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</si>
  <si>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</si>
  <si>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</si>
  <si>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</si>
  <si>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</si>
  <si>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</si>
  <si>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</si>
  <si>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</si>
  <si>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</si>
  <si>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</si>
  <si>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</si>
  <si>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</si>
  <si>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</si>
  <si>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</si>
  <si>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</si>
  <si>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</si>
  <si>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</si>
  <si>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</si>
  <si>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</si>
  <si>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</si>
  <si>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</si>
  <si>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</si>
  <si>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</si>
  <si>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</si>
  <si>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</si>
  <si>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</si>
  <si>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</si>
  <si>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</si>
  <si>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Medioambiente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</si>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</sst>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93" sheet="CapEx"/>
  </cacheSource>
  <cacheFields count="15">
    <cacheField name="Tipo de Coste" numFmtId="0">
      <sharedItems containsBlank="1" count="5">
        <m/>
        <s v="Hard_Cost"/>
        <s v="Medio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+J12+J193+J206+J219+J268+J281</f>
      </c>
      <c r="K11" s="184">
        <f>+K12+K193+K206+K219+K268+K281</f>
      </c>
      <c r="L11" s="184">
        <f>+L12+L193+L206+L219+L268+L281</f>
      </c>
      <c r="M11" s="184">
        <f>+M12+M193+M206+M219+M268+M281</f>
      </c>
      <c r="N11" s="184">
        <f>+N12+N193+N206+N219+N268+N281</f>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+J220+J232+J244+J256</f>
      </c>
      <c r="K219" s="143">
        <f t="shared" ref="K219:N219" si="90">+K220+K232+K244+K256</f>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SUM(J245:J254)</f>
      </c>
      <c r="K244" s="10">
        <f>SUM(K245:K254)</f>
      </c>
      <c r="L244" s="10">
        <f>SUM(L245:L254)</f>
      </c>
      <c r="M244" s="10">
        <f>SUM(M245:M254)</f>
      </c>
      <c r="N244" s="10">
        <f>SUM(N245:N254)</f>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ht="13.8" outlineLevel="1" thickBot="1" x14ac:dyDescent="0.35">
      <c r="A256" s="124">
        <f>+'00 Datos Categorías'!D7</f>
      </c>
      <c r="B256" s="18"/>
      <c r="C256" s="18"/>
      <c r="D256" s="36"/>
      <c r="E256" s="17"/>
      <c r="F256" s="17"/>
      <c r="G256" s="19"/>
      <c r="H256" s="172"/>
      <c r="I256" s="9"/>
      <c r="J256" s="26">
        <f>SUM(J257:J266)</f>
      </c>
      <c r="K256" s="27">
        <f>SUM(K257:K266)</f>
      </c>
      <c r="L256" s="28">
        <f>SUM(L257:L266)</f>
      </c>
      <c r="M256" s="28">
        <f>SUM(M257:M266)</f>
      </c>
      <c r="N256" s="28">
        <f>SUM(N257:N266)</f>
      </c>
      <c r="O256" s="28">
        <f>SUM(J256:N256)</f>
      </c>
      <c r="P256" s="28"/>
      <c r="Q256" s="141"/>
      <c r="S256" s="261"/>
      <c r="T256" s="59"/>
      <c r="U256" s="59"/>
      <c r="V256" s="59"/>
      <c r="W256" s="3"/>
    </row>
    <row r="257" spans="1:23" s="16" customFormat="1" ht="13.2" outlineLevel="3" x14ac:dyDescent="0.3">
      <c r="A257" s="58" t="inlineStr">
        <is>
          <t xml:space="preserve">SC</t>
        </is>
      </c>
      <c r="B257" s="92" t="s">
        <v>194</v>
      </c>
      <c r="C257" s="187" t="inlineStr">
        <is>
          <t xml:space="preserve">Soft_Cost</t>
        </is>
      </c>
      <c r="D257" s="187">
        <f>+$A$256</f>
      </c>
      <c r="E257" s="30"/>
      <c r="F257" s="30" t="s">
        <v>15</v>
      </c>
      <c r="G257" s="29"/>
      <c r="H257" s="30" t="s">
        <v>15</v>
      </c>
      <c r="I257" s="55"/>
      <c r="J257" s="167"/>
      <c r="K257" s="164"/>
      <c r="L257" s="160"/>
      <c r="M257" s="190"/>
      <c r="N257" s="157"/>
      <c r="O257" s="278">
        <f>SUM(J257:N257)</f>
      </c>
      <c r="P257" s="112" t="s">
        <v>15</v>
      </c>
      <c r="Q257" s="112" t="s">
        <v>15</v>
      </c>
      <c r="R257" s="198" t="str">
        <f>+IF(O257=V257,"OK","MAL")</f>
      </c>
      <c r="S257" s="262"/>
      <c r="T257" s="125"/>
      <c r="U257" s="126"/>
      <c r="V257" s="127">
        <f>+T257*U257</f>
      </c>
    </row>
    <row r="258" spans="1:23" s="16" customFormat="1" ht="13.2" outlineLevel="3" x14ac:dyDescent="0.3">
      <c r="A258" s="20" t="inlineStr">
        <is>
          <t xml:space="preserve">SC</t>
        </is>
      </c>
      <c r="B258" s="83" t="str">
        <f>LEFT(B257,4)&amp;TEXT(RIGHT(B257,2)+1,"0")</f>
      </c>
      <c r="C258" s="188" t="inlineStr">
        <is>
          <t xml:space="preserve">Soft_Cost</t>
        </is>
      </c>
      <c r="D258" s="188">
        <f>+$A$256</f>
      </c>
      <c r="E258" s="31"/>
      <c r="F258" s="31" t="s">
        <v>15</v>
      </c>
      <c r="G258" s="32"/>
      <c r="H258" s="31" t="s">
        <v>15</v>
      </c>
      <c r="I258" s="56"/>
      <c r="J258" s="168"/>
      <c r="K258" s="165"/>
      <c r="L258" s="161"/>
      <c r="M258" s="191"/>
      <c r="N258" s="158"/>
      <c r="O258" s="279">
        <f>SUM(J258:N258)</f>
      </c>
      <c r="P258" s="21" t="s">
        <v>15</v>
      </c>
      <c r="Q258" s="21" t="s">
        <v>15</v>
      </c>
      <c r="R258" s="198" t="str">
        <f>+IF(O258=V258,"OK","MAL")</f>
      </c>
      <c r="S258" s="262"/>
      <c r="T258" s="125"/>
      <c r="U258" s="126"/>
      <c r="V258" s="127">
        <f>+T258*U258</f>
      </c>
    </row>
    <row r="259" spans="1:23" s="16" customFormat="1" ht="13.2" outlineLevel="3" x14ac:dyDescent="0.3">
      <c r="A259" s="20" t="inlineStr">
        <is>
          <t xml:space="preserve">SC</t>
        </is>
      </c>
      <c r="B259" s="83" t="str">
        <f>LEFT(B258,4)&amp;TEXT(RIGHT(B258,2)+1,"0")</f>
      </c>
      <c r="C259" s="188" t="inlineStr">
        <is>
          <t xml:space="preserve">Soft_Cost</t>
        </is>
      </c>
      <c r="D259" s="188">
        <f>+$A$256</f>
      </c>
      <c r="E259" s="31"/>
      <c r="F259" s="31" t="s">
        <v>15</v>
      </c>
      <c r="G259" s="32"/>
      <c r="H259" s="31" t="s">
        <v>15</v>
      </c>
      <c r="I259" s="56"/>
      <c r="J259" s="168"/>
      <c r="K259" s="165"/>
      <c r="L259" s="161"/>
      <c r="M259" s="191"/>
      <c r="N259" s="158"/>
      <c r="O259" s="279">
        <f>SUM(J259:N259)</f>
      </c>
      <c r="P259" s="21" t="s">
        <v>15</v>
      </c>
      <c r="Q259" s="21" t="s">
        <v>15</v>
      </c>
      <c r="R259" s="198" t="str">
        <f>+IF(O259=V259,"OK","MAL")</f>
      </c>
      <c r="S259" s="262"/>
      <c r="T259" s="125"/>
      <c r="U259" s="126"/>
      <c r="V259" s="127">
        <f>+T259*U259</f>
      </c>
    </row>
    <row r="260" spans="1:23" s="16" customFormat="1" ht="13.2" outlineLevel="3" x14ac:dyDescent="0.3">
      <c r="A260" s="20" t="inlineStr">
        <is>
          <t xml:space="preserve">SC</t>
        </is>
      </c>
      <c r="B260" s="83" t="str">
        <f>LEFT(B259,4)&amp;TEXT(RIGHT(B259,2)+1,"0")</f>
      </c>
      <c r="C260" s="188" t="inlineStr">
        <is>
          <t xml:space="preserve">Soft_Cost</t>
        </is>
      </c>
      <c r="D260" s="188">
        <f>+$A$256</f>
      </c>
      <c r="E260" s="31"/>
      <c r="F260" s="31" t="s">
        <v>15</v>
      </c>
      <c r="G260" s="32"/>
      <c r="H260" s="31" t="s">
        <v>15</v>
      </c>
      <c r="I260" s="56"/>
      <c r="J260" s="168"/>
      <c r="K260" s="165"/>
      <c r="L260" s="161"/>
      <c r="M260" s="192"/>
      <c r="N260" s="158"/>
      <c r="O260" s="279">
        <f>SUM(J260:N260)</f>
      </c>
      <c r="P260" s="21" t="s">
        <v>15</v>
      </c>
      <c r="Q260" s="21" t="s">
        <v>15</v>
      </c>
      <c r="R260" s="198" t="str">
        <f>+IF(O260=V260,"OK","MAL")</f>
      </c>
      <c r="S260" s="262"/>
      <c r="T260" s="125"/>
      <c r="U260" s="126"/>
      <c r="V260" s="127">
        <f>+T260*U260</f>
      </c>
    </row>
    <row r="261" spans="1:23" s="16" customFormat="1" ht="13.2" outlineLevel="3" x14ac:dyDescent="0.3">
      <c r="A261" s="20" t="inlineStr">
        <is>
          <t xml:space="preserve">SC</t>
        </is>
      </c>
      <c r="B261" s="83" t="str">
        <f>LEFT(B260,4)&amp;TEXT(RIGHT(B260,2)+1,"0")</f>
      </c>
      <c r="C261" s="188" t="inlineStr">
        <is>
          <t xml:space="preserve">Soft_Cost</t>
        </is>
      </c>
      <c r="D261" s="188">
        <f>+$A$256</f>
      </c>
      <c r="E261" s="31"/>
      <c r="F261" s="31" t="s">
        <v>15</v>
      </c>
      <c r="G261" s="32"/>
      <c r="H261" s="31" t="s">
        <v>15</v>
      </c>
      <c r="I261" s="56"/>
      <c r="J261" s="54"/>
      <c r="K261" s="33"/>
      <c r="L261" s="34"/>
      <c r="M261" s="191"/>
      <c r="N261" s="35"/>
      <c r="O261" s="279">
        <f>SUM(J261:N261)</f>
      </c>
      <c r="P261" s="21" t="s">
        <v>15</v>
      </c>
      <c r="Q261" s="21" t="s">
        <v>15</v>
      </c>
      <c r="R261" s="198" t="str">
        <f>+IF(O261=V261,"OK","MAL")</f>
      </c>
      <c r="S261" s="262"/>
      <c r="T261" s="125"/>
      <c r="U261" s="126"/>
      <c r="V261" s="127">
        <f>+T261*U261</f>
      </c>
    </row>
    <row r="262" spans="1:23" s="16" customFormat="1" ht="13.2" outlineLevel="3" x14ac:dyDescent="0.3">
      <c r="A262" s="20" t="inlineStr">
        <is>
          <t xml:space="preserve">SC</t>
        </is>
      </c>
      <c r="B262" s="83" t="str">
        <f>LEFT(B261,4)&amp;TEXT(RIGHT(B261,2)+1,"0")</f>
      </c>
      <c r="C262" s="188" t="inlineStr">
        <is>
          <t xml:space="preserve">Soft_Cost</t>
        </is>
      </c>
      <c r="D262" s="188">
        <f>+$A$256</f>
      </c>
      <c r="E262" s="31"/>
      <c r="F262" s="31" t="s">
        <v>15</v>
      </c>
      <c r="G262" s="32"/>
      <c r="H262" s="31" t="s">
        <v>15</v>
      </c>
      <c r="I262" s="56"/>
      <c r="J262" s="54"/>
      <c r="K262" s="33"/>
      <c r="L262" s="34"/>
      <c r="M262" s="191"/>
      <c r="N262" s="35"/>
      <c r="O262" s="279">
        <f>SUM(J262:N262)</f>
      </c>
      <c r="P262" s="21" t="s">
        <v>15</v>
      </c>
      <c r="Q262" s="21" t="s">
        <v>15</v>
      </c>
      <c r="R262" s="198" t="str">
        <f>+IF(O262=V262,"OK","MAL")</f>
      </c>
      <c r="S262" s="262"/>
      <c r="T262" s="125"/>
      <c r="U262" s="126"/>
      <c r="V262" s="127">
        <f>+T262*U262</f>
      </c>
    </row>
    <row r="263" spans="1:23" s="16" customFormat="1" ht="13.2" outlineLevel="3" x14ac:dyDescent="0.3">
      <c r="A263" s="20" t="inlineStr">
        <is>
          <t xml:space="preserve">SC</t>
        </is>
      </c>
      <c r="B263" s="83" t="str">
        <f>LEFT(B262,4)&amp;TEXT(RIGHT(B262,2)+1,"0")</f>
      </c>
      <c r="C263" s="188" t="inlineStr">
        <is>
          <t xml:space="preserve">Soft_Cost</t>
        </is>
      </c>
      <c r="D263" s="188">
        <f>+$A$256</f>
      </c>
      <c r="E263" s="31"/>
      <c r="F263" s="31" t="s">
        <v>15</v>
      </c>
      <c r="G263" s="32"/>
      <c r="H263" s="31" t="s">
        <v>15</v>
      </c>
      <c r="I263" s="56"/>
      <c r="J263" s="54"/>
      <c r="K263" s="33"/>
      <c r="L263" s="34"/>
      <c r="M263" s="191"/>
      <c r="N263" s="35"/>
      <c r="O263" s="279">
        <f>SUM(J263:N263)</f>
      </c>
      <c r="P263" s="21" t="s">
        <v>15</v>
      </c>
      <c r="Q263" s="21" t="s">
        <v>15</v>
      </c>
      <c r="R263" s="198" t="str">
        <f>+IF(O263=V263,"OK","MAL")</f>
      </c>
      <c r="S263" s="262"/>
      <c r="T263" s="125"/>
      <c r="U263" s="126"/>
      <c r="V263" s="127">
        <f>+T263*U263</f>
      </c>
    </row>
    <row r="264" spans="1:23" s="16" customFormat="1" ht="13.2" outlineLevel="3" x14ac:dyDescent="0.3">
      <c r="A264" s="20" t="inlineStr">
        <is>
          <t xml:space="preserve">SC</t>
        </is>
      </c>
      <c r="B264" s="83" t="str">
        <f>LEFT(B263,4)&amp;TEXT(RIGHT(B263,2)+1,"0")</f>
      </c>
      <c r="C264" s="188" t="inlineStr">
        <is>
          <t xml:space="preserve">Soft_Cost</t>
        </is>
      </c>
      <c r="D264" s="188">
        <f>+$A$256</f>
      </c>
      <c r="E264" s="31"/>
      <c r="F264" s="31" t="s">
        <v>15</v>
      </c>
      <c r="G264" s="32"/>
      <c r="H264" s="31" t="s">
        <v>15</v>
      </c>
      <c r="I264" s="56"/>
      <c r="J264" s="54"/>
      <c r="K264" s="33"/>
      <c r="L264" s="34"/>
      <c r="M264" s="191"/>
      <c r="N264" s="35"/>
      <c r="O264" s="279">
        <f>SUM(J264:N264)</f>
      </c>
      <c r="P264" s="21" t="s">
        <v>15</v>
      </c>
      <c r="Q264" s="21" t="s">
        <v>15</v>
      </c>
      <c r="R264" s="198" t="str">
        <f>+IF(O264=V264,"OK","MAL")</f>
      </c>
      <c r="S264" s="262"/>
      <c r="T264" s="125"/>
      <c r="U264" s="126"/>
      <c r="V264" s="127">
        <f>+T264*U264</f>
      </c>
    </row>
    <row r="265" spans="1:23" s="16" customFormat="1" ht="13.2" outlineLevel="3" x14ac:dyDescent="0.3">
      <c r="A265" s="20" t="inlineStr">
        <is>
          <t xml:space="preserve">SC</t>
        </is>
      </c>
      <c r="B265" s="83" t="str">
        <f>LEFT(B264,4)&amp;TEXT(RIGHT(B264,2)+1,"0")</f>
      </c>
      <c r="C265" s="188" t="inlineStr">
        <is>
          <t xml:space="preserve">Soft_Cost</t>
        </is>
      </c>
      <c r="D265" s="188">
        <f>+$A$256</f>
      </c>
      <c r="E265" s="31"/>
      <c r="F265" s="31" t="s">
        <v>15</v>
      </c>
      <c r="G265" s="32"/>
      <c r="H265" s="31" t="s">
        <v>15</v>
      </c>
      <c r="I265" s="56"/>
      <c r="J265" s="54"/>
      <c r="K265" s="33"/>
      <c r="L265" s="34"/>
      <c r="M265" s="191"/>
      <c r="N265" s="35"/>
      <c r="O265" s="279">
        <f>SUM(J265:N265)</f>
      </c>
      <c r="P265" s="21" t="s">
        <v>15</v>
      </c>
      <c r="Q265" s="21" t="s">
        <v>15</v>
      </c>
      <c r="R265" s="198" t="str">
        <f>+IF(O265=V265,"OK","MAL")</f>
      </c>
      <c r="S265" s="262"/>
      <c r="T265" s="125"/>
      <c r="U265" s="126"/>
      <c r="V265" s="127">
        <f>+T265*U265</f>
      </c>
    </row>
    <row r="266" spans="1:23" s="16" customFormat="1" ht="13.8" outlineLevel="3" thickBot="1" x14ac:dyDescent="0.35">
      <c r="A266" s="22" t="inlineStr">
        <is>
          <t xml:space="preserve">SC</t>
        </is>
      </c>
      <c r="B266" s="84" t="str">
        <f>LEFT(B265,4)&amp;TEXT(RIGHT(B265,2)+1,"0")</f>
      </c>
      <c r="C266" s="189" t="inlineStr">
        <is>
          <t xml:space="preserve">Soft_Cost</t>
        </is>
      </c>
      <c r="D266" s="189">
        <f>+$A$256</f>
      </c>
      <c r="E266" s="12"/>
      <c r="F266" s="12" t="s">
        <v>15</v>
      </c>
      <c r="G266" s="113"/>
      <c r="H266" s="12" t="s">
        <v>15</v>
      </c>
      <c r="I266" s="57"/>
      <c r="J266" s="114"/>
      <c r="K266" s="13"/>
      <c r="L266" s="14"/>
      <c r="M266" s="193"/>
      <c r="N266" s="115"/>
      <c r="O266" s="280">
        <f>SUM(J266:N266)</f>
      </c>
      <c r="P266" s="116" t="s">
        <v>15</v>
      </c>
      <c r="Q266" s="116" t="s">
        <v>15</v>
      </c>
      <c r="R266" s="198" t="str">
        <f>+IF(O266=V266,"OK","MAL")</f>
      </c>
      <c r="S266" s="263"/>
      <c r="T266" s="129"/>
      <c r="U266" s="130"/>
      <c r="V266" s="128">
        <f>+T266*U266</f>
      </c>
    </row>
    <row r="267" spans="1:23" ht="13.8" thickBot="1" x14ac:dyDescent="0.35">
      <c r="E267" s="25"/>
      <c r="H267" s="177"/>
      <c r="S267" s="2"/>
      <c r="V267" s="2"/>
      <c r="W267" s="3"/>
    </row>
    <row r="268" spans="1:23" s="74" customFormat="1" ht="13.8" thickBot="1" x14ac:dyDescent="0.3">
      <c r="A268" s="71" t="inlineStr">
        <is>
          <t xml:space="preserve">OPERATIVOS</t>
        </is>
      </c>
      <c r="B268" s="72"/>
      <c r="C268" s="72"/>
      <c r="D268" s="122"/>
      <c r="E268" s="72"/>
      <c r="F268" s="72"/>
      <c r="G268" s="72"/>
      <c r="H268" s="170"/>
      <c r="I268" s="72"/>
      <c r="J268" s="143">
        <f>+J269</f>
      </c>
      <c r="K268" s="143">
        <f>+K269</f>
      </c>
      <c r="L268" s="143">
        <f>+L269</f>
      </c>
      <c r="M268" s="143">
        <f>+M269</f>
      </c>
      <c r="N268" s="143">
        <f>+N269</f>
      </c>
      <c r="O268" s="143">
        <f>SUM(J268:N268)</f>
      </c>
      <c r="P268" s="72"/>
      <c r="Q268" s="73"/>
      <c r="R268" s="197"/>
      <c r="S268" s="71"/>
      <c r="T268" s="72"/>
      <c r="U268" s="72"/>
      <c r="V268" s="73"/>
    </row>
    <row r="269" spans="1:23" ht="13.8" outlineLevel="1" thickBot="1" x14ac:dyDescent="0.35">
      <c r="A269" s="124">
        <f>+A268</f>
      </c>
      <c r="B269" s="18"/>
      <c r="C269" s="18"/>
      <c r="D269" s="36"/>
      <c r="E269" s="17"/>
      <c r="F269" s="17"/>
      <c r="G269" s="19"/>
      <c r="H269" s="172"/>
      <c r="I269" s="9"/>
      <c r="J269" s="26">
        <f>SUM(J270:J279)</f>
      </c>
      <c r="K269" s="27">
        <f>SUM(K270:K279)</f>
      </c>
      <c r="L269" s="28">
        <f>SUM(L270:L279)</f>
      </c>
      <c r="M269" s="28">
        <f>SUM(M270:M279)</f>
      </c>
      <c r="N269" s="28">
        <f>SUM(N270:N279)</f>
      </c>
      <c r="O269" s="28">
        <f>SUM(J269:N269)</f>
      </c>
      <c r="P269" s="28"/>
      <c r="Q269" s="141"/>
      <c r="S269" s="261"/>
      <c r="T269" s="59"/>
      <c r="U269" s="59"/>
      <c r="V269" s="59"/>
      <c r="W269" s="3"/>
    </row>
    <row r="270" spans="1:23" s="16" customFormat="1" ht="13.2" outlineLevel="3" x14ac:dyDescent="0.3">
      <c r="A270" s="58" t="inlineStr">
        <is>
          <t xml:space="preserve">OP</t>
        </is>
      </c>
      <c r="B270" s="92" t="s">
        <v>194</v>
      </c>
      <c r="C270" s="187" t="inlineStr">
        <is>
          <t xml:space="preserve">Operativos</t>
        </is>
      </c>
      <c r="D270" s="187"/>
      <c r="E270" s="30"/>
      <c r="F270" s="30" t="s">
        <v>15</v>
      </c>
      <c r="G270" s="29"/>
      <c r="H270" s="30" t="s">
        <v>15</v>
      </c>
      <c r="I270" s="55"/>
      <c r="J270" s="167"/>
      <c r="K270" s="164"/>
      <c r="L270" s="160"/>
      <c r="M270" s="190"/>
      <c r="N270" s="157"/>
      <c r="O270" s="278">
        <f>SUM(J270:N270)</f>
      </c>
      <c r="P270" s="112" t="s">
        <v>15</v>
      </c>
      <c r="Q270" s="112" t="s">
        <v>15</v>
      </c>
      <c r="R270" s="198" t="str">
        <f>+IF(O270=V270,"OK","MAL")</f>
      </c>
      <c r="S270" s="262"/>
      <c r="T270" s="125"/>
      <c r="U270" s="126"/>
      <c r="V270" s="127">
        <f>+T270*U270</f>
      </c>
    </row>
    <row r="271" spans="1:23" s="16" customFormat="1" ht="13.2" outlineLevel="3" x14ac:dyDescent="0.3">
      <c r="A271" s="20" t="inlineStr">
        <is>
          <t xml:space="preserve">OP</t>
        </is>
      </c>
      <c r="B271" s="83" t="str">
        <f>LEFT(B270,4)&amp;TEXT(RIGHT(B270,2)+1,"0")</f>
      </c>
      <c r="C271" s="188" t="inlineStr">
        <is>
          <t xml:space="preserve">Operativos</t>
        </is>
      </c>
      <c r="D271" s="188"/>
      <c r="E271" s="31"/>
      <c r="F271" s="31" t="s">
        <v>15</v>
      </c>
      <c r="G271" s="32"/>
      <c r="H271" s="31" t="s">
        <v>15</v>
      </c>
      <c r="I271" s="56"/>
      <c r="J271" s="168"/>
      <c r="K271" s="165"/>
      <c r="L271" s="161"/>
      <c r="M271" s="191"/>
      <c r="N271" s="158"/>
      <c r="O271" s="279">
        <f>SUM(J271:N271)</f>
      </c>
      <c r="P271" s="21" t="s">
        <v>15</v>
      </c>
      <c r="Q271" s="21" t="s">
        <v>15</v>
      </c>
      <c r="R271" s="198" t="str">
        <f>+IF(O271=V271,"OK","MAL")</f>
      </c>
      <c r="S271" s="262"/>
      <c r="T271" s="125"/>
      <c r="U271" s="126"/>
      <c r="V271" s="127">
        <f>+T271*U271</f>
      </c>
    </row>
    <row r="272" spans="1:23" s="16" customFormat="1" ht="13.2" outlineLevel="3" x14ac:dyDescent="0.3">
      <c r="A272" s="20" t="inlineStr">
        <is>
          <t xml:space="preserve">OP</t>
        </is>
      </c>
      <c r="B272" s="83" t="str">
        <f>LEFT(B271,4)&amp;TEXT(RIGHT(B271,2)+1,"0")</f>
      </c>
      <c r="C272" s="188" t="inlineStr">
        <is>
          <t xml:space="preserve">Operativos</t>
        </is>
      </c>
      <c r="D272" s="188"/>
      <c r="E272" s="31"/>
      <c r="F272" s="31" t="s">
        <v>15</v>
      </c>
      <c r="G272" s="32"/>
      <c r="H272" s="31" t="s">
        <v>15</v>
      </c>
      <c r="I272" s="56"/>
      <c r="J272" s="168"/>
      <c r="K272" s="165"/>
      <c r="L272" s="161"/>
      <c r="M272" s="191"/>
      <c r="N272" s="158"/>
      <c r="O272" s="279">
        <f>SUM(J272:N272)</f>
      </c>
      <c r="P272" s="21" t="s">
        <v>15</v>
      </c>
      <c r="Q272" s="21" t="s">
        <v>15</v>
      </c>
      <c r="R272" s="198" t="str">
        <f>+IF(O272=V272,"OK","MAL")</f>
      </c>
      <c r="S272" s="262"/>
      <c r="T272" s="125"/>
      <c r="U272" s="126"/>
      <c r="V272" s="127">
        <f>+T272*U272</f>
      </c>
    </row>
    <row r="273" spans="1:23" s="16" customFormat="1" ht="13.2" outlineLevel="3" x14ac:dyDescent="0.3">
      <c r="A273" s="20" t="inlineStr">
        <is>
          <t xml:space="preserve">OP</t>
        </is>
      </c>
      <c r="B273" s="83" t="str">
        <f>LEFT(B272,4)&amp;TEXT(RIGHT(B272,2)+1,"0")</f>
      </c>
      <c r="C273" s="188" t="inlineStr">
        <is>
          <t xml:space="preserve">Operativos</t>
        </is>
      </c>
      <c r="D273" s="188"/>
      <c r="E273" s="31"/>
      <c r="F273" s="31" t="s">
        <v>15</v>
      </c>
      <c r="G273" s="32"/>
      <c r="H273" s="31" t="s">
        <v>15</v>
      </c>
      <c r="I273" s="56"/>
      <c r="J273" s="168"/>
      <c r="K273" s="165"/>
      <c r="L273" s="161"/>
      <c r="M273" s="192"/>
      <c r="N273" s="158"/>
      <c r="O273" s="279">
        <f>SUM(J273:N273)</f>
      </c>
      <c r="P273" s="21" t="s">
        <v>15</v>
      </c>
      <c r="Q273" s="21" t="s">
        <v>15</v>
      </c>
      <c r="R273" s="198" t="str">
        <f>+IF(O273=V273,"OK","MAL")</f>
      </c>
      <c r="S273" s="262"/>
      <c r="T273" s="125"/>
      <c r="U273" s="126"/>
      <c r="V273" s="127">
        <f>+T273*U273</f>
      </c>
    </row>
    <row r="274" spans="1:23" s="16" customFormat="1" ht="13.2" outlineLevel="3" x14ac:dyDescent="0.3">
      <c r="A274" s="20" t="inlineStr">
        <is>
          <t xml:space="preserve">OP</t>
        </is>
      </c>
      <c r="B274" s="83" t="str">
        <f>LEFT(B273,4)&amp;TEXT(RIGHT(B273,2)+1,"0")</f>
      </c>
      <c r="C274" s="188" t="inlineStr">
        <is>
          <t xml:space="preserve">Operativos</t>
        </is>
      </c>
      <c r="D274" s="188"/>
      <c r="E274" s="31"/>
      <c r="F274" s="31" t="s">
        <v>15</v>
      </c>
      <c r="G274" s="32"/>
      <c r="H274" s="31" t="s">
        <v>15</v>
      </c>
      <c r="I274" s="56"/>
      <c r="J274" s="54"/>
      <c r="K274" s="33"/>
      <c r="L274" s="34"/>
      <c r="M274" s="191"/>
      <c r="N274" s="35"/>
      <c r="O274" s="279">
        <f>SUM(J274:N274)</f>
      </c>
      <c r="P274" s="21" t="s">
        <v>15</v>
      </c>
      <c r="Q274" s="21" t="s">
        <v>15</v>
      </c>
      <c r="R274" s="198" t="str">
        <f>+IF(O274=V274,"OK","MAL")</f>
      </c>
      <c r="S274" s="262"/>
      <c r="T274" s="125"/>
      <c r="U274" s="126"/>
      <c r="V274" s="127">
        <f>+T274*U274</f>
      </c>
    </row>
    <row r="275" spans="1:23" s="16" customFormat="1" ht="13.2" outlineLevel="3" x14ac:dyDescent="0.3">
      <c r="A275" s="20" t="inlineStr">
        <is>
          <t xml:space="preserve">OP</t>
        </is>
      </c>
      <c r="B275" s="83" t="str">
        <f>LEFT(B274,4)&amp;TEXT(RIGHT(B274,2)+1,"0")</f>
      </c>
      <c r="C275" s="188" t="inlineStr">
        <is>
          <t xml:space="preserve">Operativos</t>
        </is>
      </c>
      <c r="D275" s="188"/>
      <c r="E275" s="31"/>
      <c r="F275" s="31" t="s">
        <v>15</v>
      </c>
      <c r="G275" s="32"/>
      <c r="H275" s="31" t="s">
        <v>15</v>
      </c>
      <c r="I275" s="56"/>
      <c r="J275" s="54"/>
      <c r="K275" s="33"/>
      <c r="L275" s="34"/>
      <c r="M275" s="191"/>
      <c r="N275" s="35"/>
      <c r="O275" s="279">
        <f>SUM(J275:N275)</f>
      </c>
      <c r="P275" s="21" t="s">
        <v>15</v>
      </c>
      <c r="Q275" s="21" t="s">
        <v>15</v>
      </c>
      <c r="R275" s="198" t="str">
        <f>+IF(O275=V275,"OK","MAL")</f>
      </c>
      <c r="S275" s="262"/>
      <c r="T275" s="125"/>
      <c r="U275" s="126"/>
      <c r="V275" s="127">
        <f>+T275*U275</f>
      </c>
    </row>
    <row r="276" spans="1:23" s="16" customFormat="1" ht="13.2" outlineLevel="3" x14ac:dyDescent="0.3">
      <c r="A276" s="20" t="inlineStr">
        <is>
          <t xml:space="preserve">OP</t>
        </is>
      </c>
      <c r="B276" s="83" t="str">
        <f>LEFT(B275,4)&amp;TEXT(RIGHT(B275,2)+1,"0")</f>
      </c>
      <c r="C276" s="188" t="inlineStr">
        <is>
          <t xml:space="preserve">Operativos</t>
        </is>
      </c>
      <c r="D276" s="188"/>
      <c r="E276" s="31"/>
      <c r="F276" s="31" t="s">
        <v>15</v>
      </c>
      <c r="G276" s="32"/>
      <c r="H276" s="31" t="s">
        <v>15</v>
      </c>
      <c r="I276" s="56"/>
      <c r="J276" s="54"/>
      <c r="K276" s="33"/>
      <c r="L276" s="34"/>
      <c r="M276" s="191"/>
      <c r="N276" s="35"/>
      <c r="O276" s="279">
        <f>SUM(J276:N276)</f>
      </c>
      <c r="P276" s="21" t="s">
        <v>15</v>
      </c>
      <c r="Q276" s="21" t="s">
        <v>15</v>
      </c>
      <c r="R276" s="198" t="str">
        <f>+IF(O276=V276,"OK","MAL")</f>
      </c>
      <c r="S276" s="262"/>
      <c r="T276" s="125"/>
      <c r="U276" s="126"/>
      <c r="V276" s="127">
        <f>+T276*U276</f>
      </c>
    </row>
    <row r="277" spans="1:23" s="16" customFormat="1" ht="13.2" outlineLevel="3" x14ac:dyDescent="0.3">
      <c r="A277" s="20" t="inlineStr">
        <is>
          <t xml:space="preserve">OP</t>
        </is>
      </c>
      <c r="B277" s="83" t="str">
        <f>LEFT(B276,4)&amp;TEXT(RIGHT(B276,2)+1,"0")</f>
      </c>
      <c r="C277" s="188" t="inlineStr">
        <is>
          <t xml:space="preserve">Operativos</t>
        </is>
      </c>
      <c r="D277" s="188"/>
      <c r="E277" s="31"/>
      <c r="F277" s="31" t="s">
        <v>15</v>
      </c>
      <c r="G277" s="32"/>
      <c r="H277" s="31" t="s">
        <v>15</v>
      </c>
      <c r="I277" s="56"/>
      <c r="J277" s="54"/>
      <c r="K277" s="33"/>
      <c r="L277" s="34"/>
      <c r="M277" s="191"/>
      <c r="N277" s="35"/>
      <c r="O277" s="279">
        <f>SUM(J277:N277)</f>
      </c>
      <c r="P277" s="21" t="s">
        <v>15</v>
      </c>
      <c r="Q277" s="21" t="s">
        <v>15</v>
      </c>
      <c r="R277" s="198" t="str">
        <f>+IF(O277=V277,"OK","MAL")</f>
      </c>
      <c r="S277" s="262"/>
      <c r="T277" s="125"/>
      <c r="U277" s="126"/>
      <c r="V277" s="127">
        <f>+T277*U277</f>
      </c>
    </row>
    <row r="278" spans="1:23" s="16" customFormat="1" ht="13.2" outlineLevel="3" x14ac:dyDescent="0.3">
      <c r="A278" s="20" t="inlineStr">
        <is>
          <t xml:space="preserve">OP</t>
        </is>
      </c>
      <c r="B278" s="83" t="str">
        <f>LEFT(B277,4)&amp;TEXT(RIGHT(B277,2)+1,"0")</f>
      </c>
      <c r="C278" s="188" t="inlineStr">
        <is>
          <t xml:space="preserve">Operativos</t>
        </is>
      </c>
      <c r="D278" s="188"/>
      <c r="E278" s="31"/>
      <c r="F278" s="31" t="s">
        <v>15</v>
      </c>
      <c r="G278" s="32"/>
      <c r="H278" s="31" t="s">
        <v>15</v>
      </c>
      <c r="I278" s="56"/>
      <c r="J278" s="54"/>
      <c r="K278" s="33"/>
      <c r="L278" s="34"/>
      <c r="M278" s="191"/>
      <c r="N278" s="35"/>
      <c r="O278" s="279">
        <f>SUM(J278:N278)</f>
      </c>
      <c r="P278" s="21" t="s">
        <v>15</v>
      </c>
      <c r="Q278" s="21" t="s">
        <v>15</v>
      </c>
      <c r="R278" s="198" t="str">
        <f>+IF(O278=V278,"OK","MAL")</f>
      </c>
      <c r="S278" s="262"/>
      <c r="T278" s="125"/>
      <c r="U278" s="126"/>
      <c r="V278" s="127">
        <f>+T278*U278</f>
      </c>
    </row>
    <row r="279" spans="1:23" s="16" customFormat="1" ht="13.8" outlineLevel="3" thickBot="1" x14ac:dyDescent="0.35">
      <c r="A279" s="22" t="inlineStr">
        <is>
          <t xml:space="preserve">OP</t>
        </is>
      </c>
      <c r="B279" s="84" t="str">
        <f>LEFT(B278,4)&amp;TEXT(RIGHT(B278,2)+1,"0")</f>
      </c>
      <c r="C279" s="189" t="inlineStr">
        <is>
          <t xml:space="preserve">Operativos</t>
        </is>
      </c>
      <c r="D279" s="189"/>
      <c r="E279" s="12"/>
      <c r="F279" s="12" t="s">
        <v>15</v>
      </c>
      <c r="G279" s="113"/>
      <c r="H279" s="12" t="s">
        <v>15</v>
      </c>
      <c r="I279" s="57"/>
      <c r="J279" s="114"/>
      <c r="K279" s="13"/>
      <c r="L279" s="14"/>
      <c r="M279" s="193"/>
      <c r="N279" s="115"/>
      <c r="O279" s="280">
        <f>SUM(J279:N279)</f>
      </c>
      <c r="P279" s="116" t="s">
        <v>15</v>
      </c>
      <c r="Q279" s="116" t="s">
        <v>15</v>
      </c>
      <c r="R279" s="198" t="str">
        <f>+IF(O279=V279,"OK","MAL")</f>
      </c>
      <c r="S279" s="263"/>
      <c r="T279" s="129"/>
      <c r="U279" s="130"/>
      <c r="V279" s="128">
        <f>+T279*U279</f>
      </c>
    </row>
    <row r="280" spans="1:23" ht="13.8" thickBot="1" x14ac:dyDescent="0.35">
      <c r="E280" s="25"/>
      <c r="H280" s="177"/>
      <c r="S280" s="2"/>
      <c r="V280" s="2"/>
      <c r="W280" s="3"/>
    </row>
    <row r="281" spans="1:23" s="74" customFormat="1" ht="13.8" thickBot="1" x14ac:dyDescent="0.3">
      <c r="A281" s="71" t="inlineStr">
        <is>
          <t xml:space="preserve">IMPREVISTOS</t>
        </is>
      </c>
      <c r="B281" s="72"/>
      <c r="C281" s="72"/>
      <c r="D281" s="122"/>
      <c r="E281" s="72"/>
      <c r="F281" s="72"/>
      <c r="G281" s="72"/>
      <c r="H281" s="170"/>
      <c r="I281" s="72"/>
      <c r="J281" s="143">
        <f>+J282</f>
      </c>
      <c r="K281" s="143">
        <f>+K282</f>
      </c>
      <c r="L281" s="143">
        <f>+L282</f>
      </c>
      <c r="M281" s="143">
        <f>+M282</f>
      </c>
      <c r="N281" s="143">
        <f>+N282</f>
      </c>
      <c r="O281" s="143">
        <f>SUM(J281:N281)</f>
      </c>
      <c r="P281" s="72"/>
      <c r="Q281" s="73"/>
      <c r="R281" s="197"/>
      <c r="S281" s="71"/>
      <c r="T281" s="72"/>
      <c r="U281" s="72"/>
      <c r="V281" s="73"/>
    </row>
    <row r="282" spans="1:23" ht="13.8" outlineLevel="1" thickBot="1" x14ac:dyDescent="0.35">
      <c r="A282" s="124">
        <f>+A281</f>
      </c>
      <c r="B282" s="18"/>
      <c r="C282" s="18"/>
      <c r="D282" s="36"/>
      <c r="E282" s="17"/>
      <c r="F282" s="17"/>
      <c r="G282" s="19"/>
      <c r="H282" s="172"/>
      <c r="I282" s="9"/>
      <c r="J282" s="26">
        <f>SUM(J283:J292)</f>
      </c>
      <c r="K282" s="27">
        <f>SUM(K283:K292)</f>
      </c>
      <c r="L282" s="28">
        <f>SUM(L283:L292)</f>
      </c>
      <c r="M282" s="28">
        <f>SUM(M283:M292)</f>
      </c>
      <c r="N282" s="28">
        <f>SUM(N283:N292)</f>
      </c>
      <c r="O282" s="28">
        <f>SUM(J282:N282)</f>
      </c>
      <c r="P282" s="28"/>
      <c r="Q282" s="141"/>
      <c r="S282" s="261"/>
      <c r="T282" s="59"/>
      <c r="U282" s="59"/>
      <c r="V282" s="59"/>
      <c r="W282" s="3"/>
    </row>
    <row r="283" spans="1:23" s="16" customFormat="1" ht="13.2" outlineLevel="3" x14ac:dyDescent="0.3">
      <c r="A283" s="58" t="inlineStr">
        <is>
          <t xml:space="preserve">IMP</t>
        </is>
      </c>
      <c r="B283" s="92" t="s">
        <v>194</v>
      </c>
      <c r="C283" s="187" t="inlineStr">
        <is>
          <t xml:space="preserve">Imprevistos</t>
        </is>
      </c>
      <c r="D283" s="187" t="inlineStr">
        <is>
          <t xml:space="preserve">General</t>
        </is>
      </c>
      <c r="E283" s="30"/>
      <c r="F283" s="30" t="s">
        <v>15</v>
      </c>
      <c r="G283" s="29" t="inlineStr">
        <is>
          <t xml:space="preserve">Imprevistos</t>
        </is>
      </c>
      <c r="H283" s="30" t="s">
        <v>15</v>
      </c>
      <c r="I283" s="55"/>
      <c r="J283" s="167">
        <f>+$T283*J$12</f>
      </c>
      <c r="K283" s="164">
        <f>+$T283*K$12</f>
      </c>
      <c r="L283" s="160">
        <f>+$T283*L$12</f>
      </c>
      <c r="M283" s="190">
        <f>+$T283*M$12</f>
      </c>
      <c r="N283" s="157">
        <f>+$T283*N$12</f>
      </c>
      <c r="O283" s="278">
        <f>SUM(J283:N283)</f>
      </c>
      <c r="P283" s="112" t="s">
        <v>15</v>
      </c>
      <c r="Q283" s="112" t="s">
        <v>15</v>
      </c>
      <c r="R283" s="198" t="str">
        <f>+IF(O283=V283,"OK","MAL")</f>
      </c>
      <c r="S283" s="262"/>
      <c r="T283" s="125">
        <f>+'00 Datos Activo'!C45</f>
      </c>
      <c r="U283" s="126">
        <f>+$O$12</f>
      </c>
      <c r="V283" s="127">
        <f>+T283*U283</f>
      </c>
    </row>
    <row r="284" spans="1:23" s="16" customFormat="1" ht="13.2" outlineLevel="3" x14ac:dyDescent="0.3">
      <c r="A284" s="20" t="inlineStr">
        <is>
          <t xml:space="preserve">IMP</t>
        </is>
      </c>
      <c r="B284" s="83" t="str">
        <f>LEFT(B283,4)&amp;TEXT(RIGHT(B283,2)+1,"0")</f>
      </c>
      <c r="C284" s="188" t="inlineStr">
        <is>
          <t xml:space="preserve">Imprevistos</t>
        </is>
      </c>
      <c r="D284" s="188" t="inlineStr">
        <is>
          <t xml:space="preserve">General</t>
        </is>
      </c>
      <c r="E284" s="31"/>
      <c r="F284" s="31" t="s">
        <v>15</v>
      </c>
      <c r="G284" s="32"/>
      <c r="H284" s="31" t="s">
        <v>15</v>
      </c>
      <c r="I284" s="56"/>
      <c r="J284" s="168"/>
      <c r="K284" s="165"/>
      <c r="L284" s="161"/>
      <c r="M284" s="191"/>
      <c r="N284" s="158"/>
      <c r="O284" s="279">
        <f>SUM(J284:N284)</f>
      </c>
      <c r="P284" s="21" t="s">
        <v>15</v>
      </c>
      <c r="Q284" s="21" t="s">
        <v>15</v>
      </c>
      <c r="R284" s="198" t="str">
        <f>+IF(O284=V284,"OK","MAL")</f>
      </c>
      <c r="S284" s="262"/>
      <c r="T284" s="125"/>
      <c r="U284" s="126"/>
      <c r="V284" s="127">
        <f>+T284*U284</f>
      </c>
    </row>
    <row r="285" spans="1:23" s="16" customFormat="1" ht="13.2" outlineLevel="3" x14ac:dyDescent="0.3">
      <c r="A285" s="20" t="inlineStr">
        <is>
          <t xml:space="preserve">IMP</t>
        </is>
      </c>
      <c r="B285" s="83" t="str">
        <f>LEFT(B284,4)&amp;TEXT(RIGHT(B284,2)+1,"0")</f>
      </c>
      <c r="C285" s="188" t="inlineStr">
        <is>
          <t xml:space="preserve">Imprevistos</t>
        </is>
      </c>
      <c r="D285" s="188" t="inlineStr">
        <is>
          <t xml:space="preserve">General</t>
        </is>
      </c>
      <c r="E285" s="31"/>
      <c r="F285" s="31" t="s">
        <v>15</v>
      </c>
      <c r="G285" s="32"/>
      <c r="H285" s="31" t="s">
        <v>15</v>
      </c>
      <c r="I285" s="56"/>
      <c r="J285" s="168"/>
      <c r="K285" s="165"/>
      <c r="L285" s="161"/>
      <c r="M285" s="191"/>
      <c r="N285" s="158"/>
      <c r="O285" s="279">
        <f>SUM(J285:N285)</f>
      </c>
      <c r="P285" s="21" t="s">
        <v>15</v>
      </c>
      <c r="Q285" s="21" t="s">
        <v>15</v>
      </c>
      <c r="R285" s="198" t="str">
        <f>+IF(O285=V285,"OK","MAL")</f>
      </c>
      <c r="S285" s="262"/>
      <c r="T285" s="125"/>
      <c r="U285" s="126"/>
      <c r="V285" s="127">
        <f>+T285*U285</f>
      </c>
    </row>
    <row r="286" spans="1:23" s="16" customFormat="1" ht="13.2" outlineLevel="3" x14ac:dyDescent="0.3">
      <c r="A286" s="20" t="inlineStr">
        <is>
          <t xml:space="preserve">IMP</t>
        </is>
      </c>
      <c r="B286" s="83" t="str">
        <f>LEFT(B285,4)&amp;TEXT(RIGHT(B285,2)+1,"0")</f>
      </c>
      <c r="C286" s="188" t="inlineStr">
        <is>
          <t xml:space="preserve">Imprevistos</t>
        </is>
      </c>
      <c r="D286" s="188" t="inlineStr">
        <is>
          <t xml:space="preserve">General</t>
        </is>
      </c>
      <c r="E286" s="31"/>
      <c r="F286" s="31" t="s">
        <v>15</v>
      </c>
      <c r="G286" s="32"/>
      <c r="H286" s="31" t="s">
        <v>15</v>
      </c>
      <c r="I286" s="56"/>
      <c r="J286" s="168"/>
      <c r="K286" s="165"/>
      <c r="L286" s="161"/>
      <c r="M286" s="192"/>
      <c r="N286" s="158"/>
      <c r="O286" s="279">
        <f>SUM(J286:N286)</f>
      </c>
      <c r="P286" s="21" t="s">
        <v>15</v>
      </c>
      <c r="Q286" s="21" t="s">
        <v>15</v>
      </c>
      <c r="R286" s="198" t="str">
        <f>+IF(O286=V286,"OK","MAL")</f>
      </c>
      <c r="S286" s="262"/>
      <c r="T286" s="125"/>
      <c r="U286" s="126"/>
      <c r="V286" s="127">
        <f>+T286*U286</f>
      </c>
    </row>
    <row r="287" spans="1:23" s="16" customFormat="1" ht="13.2" outlineLevel="3" x14ac:dyDescent="0.3">
      <c r="A287" s="20" t="inlineStr">
        <is>
          <t xml:space="preserve">IMP</t>
        </is>
      </c>
      <c r="B287" s="83" t="str">
        <f>LEFT(B286,4)&amp;TEXT(RIGHT(B286,2)+1,"0")</f>
      </c>
      <c r="C287" s="188" t="inlineStr">
        <is>
          <t xml:space="preserve">Imprevistos</t>
        </is>
      </c>
      <c r="D287" s="188" t="inlineStr">
        <is>
          <t xml:space="preserve">General</t>
        </is>
      </c>
      <c r="E287" s="31"/>
      <c r="F287" s="31" t="s">
        <v>15</v>
      </c>
      <c r="G287" s="32"/>
      <c r="H287" s="31" t="s">
        <v>15</v>
      </c>
      <c r="I287" s="56"/>
      <c r="J287" s="54"/>
      <c r="K287" s="33"/>
      <c r="L287" s="34"/>
      <c r="M287" s="191"/>
      <c r="N287" s="35"/>
      <c r="O287" s="279">
        <f>SUM(J287:N287)</f>
      </c>
      <c r="P287" s="21" t="s">
        <v>15</v>
      </c>
      <c r="Q287" s="21" t="s">
        <v>15</v>
      </c>
      <c r="R287" s="198" t="str">
        <f>+IF(O287=V287,"OK","MAL")</f>
      </c>
      <c r="S287" s="262"/>
      <c r="T287" s="125"/>
      <c r="U287" s="126"/>
      <c r="V287" s="127">
        <f>+T287*U287</f>
      </c>
    </row>
    <row r="288" spans="1:23" s="16" customFormat="1" ht="13.2" outlineLevel="3" x14ac:dyDescent="0.3">
      <c r="A288" s="20" t="inlineStr">
        <is>
          <t xml:space="preserve">IMP</t>
        </is>
      </c>
      <c r="B288" s="83" t="str">
        <f>LEFT(B287,4)&amp;TEXT(RIGHT(B287,2)+1,"0")</f>
      </c>
      <c r="C288" s="188" t="inlineStr">
        <is>
          <t xml:space="preserve">Imprevistos</t>
        </is>
      </c>
      <c r="D288" s="188" t="inlineStr">
        <is>
          <t xml:space="preserve">General</t>
        </is>
      </c>
      <c r="E288" s="31"/>
      <c r="F288" s="31" t="s">
        <v>15</v>
      </c>
      <c r="G288" s="32"/>
      <c r="H288" s="31" t="s">
        <v>15</v>
      </c>
      <c r="I288" s="56"/>
      <c r="J288" s="54"/>
      <c r="K288" s="33"/>
      <c r="L288" s="34"/>
      <c r="M288" s="191"/>
      <c r="N288" s="35"/>
      <c r="O288" s="279">
        <f>SUM(J288:N288)</f>
      </c>
      <c r="P288" s="21" t="s">
        <v>15</v>
      </c>
      <c r="Q288" s="21" t="s">
        <v>15</v>
      </c>
      <c r="R288" s="198" t="str">
        <f>+IF(O288=V288,"OK","MAL")</f>
      </c>
      <c r="S288" s="262"/>
      <c r="T288" s="125"/>
      <c r="U288" s="126"/>
      <c r="V288" s="127">
        <f>+T288*U288</f>
      </c>
    </row>
    <row r="289" spans="1:23" s="16" customFormat="1" ht="13.2" outlineLevel="3" x14ac:dyDescent="0.3">
      <c r="A289" s="20" t="inlineStr">
        <is>
          <t xml:space="preserve">IMP</t>
        </is>
      </c>
      <c r="B289" s="83" t="str">
        <f>LEFT(B288,4)&amp;TEXT(RIGHT(B288,2)+1,"0")</f>
      </c>
      <c r="C289" s="188" t="inlineStr">
        <is>
          <t xml:space="preserve">Imprevistos</t>
        </is>
      </c>
      <c r="D289" s="188" t="inlineStr">
        <is>
          <t xml:space="preserve">General</t>
        </is>
      </c>
      <c r="E289" s="31"/>
      <c r="F289" s="31" t="s">
        <v>15</v>
      </c>
      <c r="G289" s="32"/>
      <c r="H289" s="31" t="s">
        <v>15</v>
      </c>
      <c r="I289" s="56"/>
      <c r="J289" s="54"/>
      <c r="K289" s="33"/>
      <c r="L289" s="34"/>
      <c r="M289" s="191"/>
      <c r="N289" s="35"/>
      <c r="O289" s="279">
        <f>SUM(J289:N289)</f>
      </c>
      <c r="P289" s="21" t="s">
        <v>15</v>
      </c>
      <c r="Q289" s="21" t="s">
        <v>15</v>
      </c>
      <c r="R289" s="198" t="str">
        <f>+IF(O289=V289,"OK","MAL")</f>
      </c>
      <c r="S289" s="262"/>
      <c r="T289" s="125"/>
      <c r="U289" s="126"/>
      <c r="V289" s="127">
        <f>+T289*U289</f>
      </c>
    </row>
    <row r="290" spans="1:23" s="16" customFormat="1" ht="13.2" outlineLevel="3" x14ac:dyDescent="0.3">
      <c r="A290" s="20" t="inlineStr">
        <is>
          <t xml:space="preserve">IMP</t>
        </is>
      </c>
      <c r="B290" s="83" t="str">
        <f>LEFT(B289,4)&amp;TEXT(RIGHT(B289,2)+1,"0")</f>
      </c>
      <c r="C290" s="188" t="inlineStr">
        <is>
          <t xml:space="preserve">Imprevistos</t>
        </is>
      </c>
      <c r="D290" s="188" t="inlineStr">
        <is>
          <t xml:space="preserve">General</t>
        </is>
      </c>
      <c r="E290" s="31"/>
      <c r="F290" s="31" t="s">
        <v>15</v>
      </c>
      <c r="G290" s="32"/>
      <c r="H290" s="31" t="s">
        <v>15</v>
      </c>
      <c r="I290" s="56"/>
      <c r="J290" s="54"/>
      <c r="K290" s="33"/>
      <c r="L290" s="34"/>
      <c r="M290" s="191"/>
      <c r="N290" s="35"/>
      <c r="O290" s="279">
        <f>SUM(J290:N290)</f>
      </c>
      <c r="P290" s="21" t="s">
        <v>15</v>
      </c>
      <c r="Q290" s="21" t="s">
        <v>15</v>
      </c>
      <c r="R290" s="198" t="str">
        <f>+IF(O290=V290,"OK","MAL")</f>
      </c>
      <c r="S290" s="262"/>
      <c r="T290" s="125"/>
      <c r="U290" s="126"/>
      <c r="V290" s="127">
        <f>+T290*U290</f>
      </c>
    </row>
    <row r="291" spans="1:23" s="16" customFormat="1" ht="13.2" outlineLevel="3" x14ac:dyDescent="0.3">
      <c r="A291" s="20" t="inlineStr">
        <is>
          <t xml:space="preserve">IMP</t>
        </is>
      </c>
      <c r="B291" s="83" t="str">
        <f>LEFT(B290,4)&amp;TEXT(RIGHT(B290,2)+1,"0")</f>
      </c>
      <c r="C291" s="188" t="inlineStr">
        <is>
          <t xml:space="preserve">Imprevistos</t>
        </is>
      </c>
      <c r="D291" s="188" t="inlineStr">
        <is>
          <t xml:space="preserve">General</t>
        </is>
      </c>
      <c r="E291" s="31"/>
      <c r="F291" s="31" t="s">
        <v>15</v>
      </c>
      <c r="G291" s="32"/>
      <c r="H291" s="31" t="s">
        <v>15</v>
      </c>
      <c r="I291" s="56"/>
      <c r="J291" s="54"/>
      <c r="K291" s="33"/>
      <c r="L291" s="34"/>
      <c r="M291" s="191"/>
      <c r="N291" s="35"/>
      <c r="O291" s="279">
        <f>SUM(J291:N291)</f>
      </c>
      <c r="P291" s="21" t="s">
        <v>15</v>
      </c>
      <c r="Q291" s="21" t="s">
        <v>15</v>
      </c>
      <c r="R291" s="198" t="str">
        <f>+IF(O291=V291,"OK","MAL")</f>
      </c>
      <c r="S291" s="262"/>
      <c r="T291" s="125"/>
      <c r="U291" s="126"/>
      <c r="V291" s="127">
        <f>+T291*U291</f>
      </c>
    </row>
    <row r="292" spans="1:23" s="16" customFormat="1" ht="13.8" outlineLevel="3" thickBot="1" x14ac:dyDescent="0.35">
      <c r="A292" s="22" t="inlineStr">
        <is>
          <t xml:space="preserve">IMP</t>
        </is>
      </c>
      <c r="B292" s="84" t="str">
        <f>LEFT(B291,4)&amp;TEXT(RIGHT(B291,2)+1,"0")</f>
      </c>
      <c r="C292" s="189" t="inlineStr">
        <is>
          <t xml:space="preserve">Imprevistos</t>
        </is>
      </c>
      <c r="D292" s="189" t="inlineStr">
        <is>
          <t xml:space="preserve">General</t>
        </is>
      </c>
      <c r="E292" s="12"/>
      <c r="F292" s="12" t="s">
        <v>15</v>
      </c>
      <c r="G292" s="113"/>
      <c r="H292" s="12" t="s">
        <v>15</v>
      </c>
      <c r="I292" s="57"/>
      <c r="J292" s="114"/>
      <c r="K292" s="13"/>
      <c r="L292" s="14"/>
      <c r="M292" s="193"/>
      <c r="N292" s="115"/>
      <c r="O292" s="280">
        <f>SUM(J292:N292)</f>
      </c>
      <c r="P292" s="116" t="s">
        <v>15</v>
      </c>
      <c r="Q292" s="116" t="s">
        <v>15</v>
      </c>
      <c r="R292" s="198" t="str">
        <f>+IF(O292=V292,"OK","MAL")</f>
      </c>
      <c r="S292" s="263"/>
      <c r="T292" s="129"/>
      <c r="U292" s="130"/>
      <c r="V292" s="128">
        <f>+T292*U292</f>
      </c>
    </row>
    <row r="293" spans="1:23" ht="13.8" thickBot="1" x14ac:dyDescent="0.35">
      <c r="E293" s="25"/>
      <c r="H293" s="177"/>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Medioambiente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